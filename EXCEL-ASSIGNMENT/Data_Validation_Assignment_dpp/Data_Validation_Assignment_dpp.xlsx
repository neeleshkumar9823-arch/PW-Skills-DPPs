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276" documentId="8_{F964E9C4-408B-4D44-9B81-C9C1EFD806ED}" xr6:coauthVersionLast="47" xr6:coauthVersionMax="47" xr10:uidLastSave="{D1C448BE-7226-4A89-8FD5-BDEB0DDF695B}"/>
  <bookViews>
    <workbookView xWindow="-98" yWindow="-98" windowWidth="21795" windowHeight="13695" xr2:uid="{6824EDDA-977C-449B-93FA-B506710429A0}"/>
  </bookViews>
  <sheets>
    <sheet name="Sheet1" sheetId="1" r:id="rId1"/>
  </sheets>
  <definedNames>
    <definedName name="_xlnm._FilterDatabase" localSheetId="0" hidden="1">Sheet1!$L$1:$L$100</definedName>
  </definedNames>
  <calcPr calcId="191029"/>
  <pivotCaches>
    <pivotCache cacheId="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K2" i="1"/>
</calcChain>
</file>

<file path=xl/sharedStrings.xml><?xml version="1.0" encoding="utf-8"?>
<sst xmlns="http://schemas.openxmlformats.org/spreadsheetml/2006/main" count="972" uniqueCount="362">
  <si>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</si>
  <si>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</si>
  <si>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</si>
  <si>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</si>
  <si>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</si>
  <si>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</si>
  <si>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</si>
  <si>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</si>
  <si>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</si>
  <si>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</si>
  <si>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</si>
  <si>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</si>
  <si>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</si>
  <si>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</si>
  <si>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</si>
  <si>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</si>
  <si>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</si>
  <si>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</si>
  <si>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</si>
  <si>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</si>
  <si>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</si>
  <si>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4/17/2024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</si>
  <si>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</si>
  <si>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</si>
  <si>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</si>
  <si>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</si>
  <si>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</si>
  <si>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</si>
  <si>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</si>
  <si>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</si>
  <si>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</si>
  <si>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</si>
  <si>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</si>
  <si>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</si>
  <si>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</si>
  <si>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</si>
  <si>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</si>
  <si>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</si>
  <si>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</si>
  <si>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</si>
  <si>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</si>
  <si>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</si>
  <si>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</si>
  <si>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ORD1006</t>
  </si>
  <si>
    <t>Isabella Davis</t>
  </si>
  <si>
    <t>isabelladavis@gmail.com</t>
  </si>
  <si>
    <t>Headphones</t>
  </si>
  <si>
    <t>4/25/2024</t>
  </si>
  <si>
    <t>ORD1007</t>
  </si>
  <si>
    <t>Jane Davis</t>
  </si>
  <si>
    <t>janedavis@gmail.com</t>
  </si>
  <si>
    <t>8/21/2024</t>
  </si>
  <si>
    <t>ORD1008</t>
  </si>
  <si>
    <t>Alex Wilson</t>
  </si>
  <si>
    <t>alexwilson@gmail.com</t>
  </si>
  <si>
    <t>T-shirt</t>
  </si>
  <si>
    <t>11/21/2024</t>
  </si>
  <si>
    <t>ORD1009</t>
  </si>
  <si>
    <t>Isabella Brown</t>
  </si>
  <si>
    <t>isabellabrown@gmail.com</t>
  </si>
  <si>
    <t>South</t>
  </si>
  <si>
    <t>5/21/2024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</si>
  <si>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</si>
  <si>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</si>
  <si>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</si>
  <si>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</si>
  <si>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</si>
  <si>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</si>
  <si>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</si>
  <si>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11/15/2024</t>
  </si>
  <si>
    <t>ORD1012</t>
  </si>
  <si>
    <t>Chris Brown</t>
  </si>
  <si>
    <t>chrisbrown@gmail.com</t>
  </si>
  <si>
    <t>10/14/2024</t>
  </si>
  <si>
    <t>ORD1013</t>
  </si>
  <si>
    <t>Olivia Davis</t>
  </si>
  <si>
    <t>oliviadavis@gmail.com</t>
  </si>
  <si>
    <t>1/28/2024</t>
  </si>
  <si>
    <t>ORD1014</t>
  </si>
  <si>
    <t>Alex Brown</t>
  </si>
  <si>
    <t>alexbrown@gmail.com</t>
  </si>
  <si>
    <t>7/20/2024</t>
  </si>
  <si>
    <t>ORD1015</t>
  </si>
  <si>
    <t>Daniel Miller</t>
  </si>
  <si>
    <t>danielmiller@gmail.com</t>
  </si>
  <si>
    <t>9/25/2024</t>
  </si>
  <si>
    <t>ORD1016</t>
  </si>
  <si>
    <t>Olivia Johnson</t>
  </si>
  <si>
    <t>oliviajohnson@gmail.com</t>
  </si>
  <si>
    <t>12/24/2024</t>
  </si>
  <si>
    <t>ORD1017</t>
  </si>
  <si>
    <t>Daniel Brown</t>
  </si>
  <si>
    <t>danielbrown@gmail.com</t>
  </si>
  <si>
    <t>11/17/2024</t>
  </si>
  <si>
    <t>ORD1018</t>
  </si>
  <si>
    <t>Smartphone</t>
  </si>
  <si>
    <t>ORD1019</t>
  </si>
  <si>
    <t>Sophia Smith</t>
  </si>
  <si>
    <t>sophiasmith@gmail.com</t>
  </si>
  <si>
    <t>4/19/2024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</si>
  <si>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</si>
  <si>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</si>
  <si>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</si>
  <si>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</si>
  <si>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</si>
  <si>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</si>
  <si>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</si>
  <si>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</si>
  <si>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</si>
  <si>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</si>
  <si>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</si>
  <si>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</si>
  <si>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</si>
  <si>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</si>
  <si>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</si>
  <si>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</si>
  <si>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</si>
  <si>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</si>
  <si>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</si>
  <si>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</si>
  <si>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</si>
  <si>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</si>
  <si>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</si>
  <si>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</si>
  <si>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ORD1028</t>
  </si>
  <si>
    <t>Emma Anderson</t>
  </si>
  <si>
    <t>emmaanderson@gmail.com</t>
  </si>
  <si>
    <t>5/15/2024</t>
  </si>
  <si>
    <t>ORD1029</t>
  </si>
  <si>
    <t>9/27/2024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</si>
  <si>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</si>
  <si>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</si>
  <si>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</si>
  <si>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</si>
  <si>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</si>
  <si>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</si>
  <si>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</si>
  <si>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</si>
  <si>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</si>
  <si>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</si>
  <si>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</si>
  <si>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2/22/2024</t>
  </si>
  <si>
    <t>ORD1035</t>
  </si>
  <si>
    <t>1/20/2024</t>
  </si>
  <si>
    <t>ORD1036</t>
  </si>
  <si>
    <t>Michael Thomas</t>
  </si>
  <si>
    <t>michaelthomas@gmail.com</t>
  </si>
  <si>
    <t>11/23/2024</t>
  </si>
  <si>
    <t>ORD1037</t>
  </si>
  <si>
    <t>Emma Miller</t>
  </si>
  <si>
    <t>emmamiller@gmail.com</t>
  </si>
  <si>
    <t>6/25/2024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</si>
  <si>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</si>
  <si>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</si>
  <si>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</si>
  <si>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</si>
  <si>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</si>
  <si>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</si>
  <si>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</si>
  <si>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</si>
  <si>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</si>
  <si>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</si>
  <si>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</si>
  <si>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</si>
  <si>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</si>
  <si>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</si>
  <si>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</si>
  <si>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</si>
  <si>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</si>
  <si>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</si>
  <si>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</si>
  <si>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</si>
  <si>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</si>
  <si>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ORD1046</t>
  </si>
  <si>
    <t>9/28/2024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</si>
  <si>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</si>
  <si>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</si>
  <si>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</si>
  <si>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</si>
  <si>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</si>
  <si>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</si>
  <si>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</si>
  <si>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</si>
  <si>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</si>
  <si>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</si>
  <si>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</si>
  <si>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</si>
  <si>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</si>
  <si>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</si>
  <si>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10/17/2024</t>
  </si>
  <si>
    <t>ORD1053</t>
  </si>
  <si>
    <t>9/26/2024</t>
  </si>
  <si>
    <t>ORD1054</t>
  </si>
  <si>
    <t>2/24/2024</t>
  </si>
  <si>
    <t>ORD1055</t>
  </si>
  <si>
    <t>5/18/2024</t>
  </si>
  <si>
    <t>ORD1056</t>
  </si>
  <si>
    <t>ORD1057</t>
  </si>
  <si>
    <t>10/20/2024</t>
  </si>
  <si>
    <t>ORD1058</t>
  </si>
  <si>
    <t>Sophia Taylor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</si>
  <si>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</si>
  <si>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</si>
  <si>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</si>
  <si>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</si>
  <si>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</si>
  <si>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</si>
  <si>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</si>
  <si>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</si>
  <si>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</si>
  <si>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</si>
  <si>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</si>
  <si>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</si>
  <si>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</si>
  <si>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</si>
  <si>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</si>
  <si>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</si>
  <si>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</si>
  <si>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</si>
  <si>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</si>
  <si>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</si>
  <si>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</si>
  <si>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</si>
  <si>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</si>
  <si>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</si>
  <si>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</si>
  <si>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</si>
  <si>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</si>
  <si>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 Taylor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</si>
  <si>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</si>
  <si>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</si>
  <si>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</si>
  <si>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</si>
  <si>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</si>
  <si>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</si>
  <si>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</si>
  <si>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</si>
  <si>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</si>
  <si>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</si>
  <si>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</si>
  <si>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</si>
  <si>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 Taylor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</si>
  <si>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</si>
  <si>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</si>
  <si>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</si>
  <si>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</si>
  <si>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</si>
  <si>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</si>
  <si>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</si>
  <si>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</si>
  <si>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</si>
  <si>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</si>
  <si>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</si>
  <si>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</si>
  <si>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</si>
  <si>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</si>
  <si>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</si>
  <si>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11/13/2024</t>
  </si>
  <si>
    <t>ORD1079</t>
  </si>
  <si>
    <t>Emma Johnson</t>
  </si>
  <si>
    <t>emmajohnson@gmail.com</t>
  </si>
  <si>
    <t>ORD1080</t>
  </si>
  <si>
    <t>Isabella Smith</t>
  </si>
  <si>
    <t>isabellasmith@gmail.com</t>
  </si>
  <si>
    <t>9/21/2024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</si>
  <si>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</si>
  <si>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</si>
  <si>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</si>
  <si>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</si>
  <si>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</si>
  <si>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</si>
  <si>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</si>
  <si>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</si>
  <si>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</si>
  <si>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</si>
  <si>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</si>
  <si>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</si>
  <si>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</si>
  <si>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</si>
  <si>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</si>
  <si>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</si>
  <si>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</si>
  <si>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</si>
  <si>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</si>
  <si>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</si>
  <si>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</si>
  <si>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</si>
  <si>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</si>
  <si>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</si>
  <si>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 Anderson</t>
  </si>
  <si>
    <t>janeanderson@gmail.com</t>
  </si>
  <si>
    <t>12/16/2024</t>
  </si>
  <si>
    <t>ORD1092</t>
  </si>
  <si>
    <t>ORD1093</t>
  </si>
  <si>
    <t>1/18/2024</t>
  </si>
  <si>
    <t>ORD1094</t>
  </si>
  <si>
    <t>8/16/2024</t>
  </si>
  <si>
    <t>ORD1095</t>
  </si>
  <si>
    <t>Olivia Brown</t>
  </si>
  <si>
    <t>oliviabrown@gmail.com</t>
  </si>
  <si>
    <t>2/13/2024</t>
  </si>
  <si>
    <t>ORD1096</t>
  </si>
  <si>
    <t>ORD1097</t>
  </si>
  <si>
    <t>ORD1098</t>
  </si>
  <si>
    <t>headphones</t>
  </si>
  <si>
    <t>Question 1</t>
  </si>
  <si>
    <t>Apply Data Validation to restrict Quantity values to only whole numbers between 1 and 10.</t>
  </si>
  <si>
    <t>Question 2</t>
  </si>
  <si>
    <t>Highlight all "Total Price" values greater than $2000 in green using Conditional Formatting.</t>
  </si>
  <si>
    <t>Question 3</t>
  </si>
  <si>
    <t>Remove duplicate records where "Order ID" is the same.</t>
  </si>
  <si>
    <t>Question 4</t>
  </si>
  <si>
    <t>The "Customer Name" column contains full names. Split them into "First Name" and "Last Name."</t>
  </si>
  <si>
    <t>Question 5</t>
  </si>
  <si>
    <t>Question 6</t>
  </si>
  <si>
    <t>Filter the dataset to show only orders from the "North" region.</t>
  </si>
  <si>
    <t>Question 7</t>
  </si>
  <si>
    <t>Question 8</t>
  </si>
  <si>
    <t>Identify customers who placed multiple orders by checking duplicate "Customer Names."</t>
  </si>
  <si>
    <t>(Hint: Use formula in new rule)</t>
  </si>
  <si>
    <t>Solution:</t>
  </si>
  <si>
    <t>Selecting the Quantity Column -&gt; Data Tab -&gt; Data Tools -&gt; Data Validation</t>
  </si>
  <si>
    <t>Seleting the Whole Table -&gt; Data Tab -&gt; Data Tools -&gt; Remove Duplicates</t>
  </si>
  <si>
    <t>First Name</t>
  </si>
  <si>
    <t>Last Name</t>
  </si>
  <si>
    <t>Jane</t>
  </si>
  <si>
    <t>Smith</t>
  </si>
  <si>
    <t>Isabella</t>
  </si>
  <si>
    <t>Daniel</t>
  </si>
  <si>
    <t>Alex</t>
  </si>
  <si>
    <t>Michael</t>
  </si>
  <si>
    <t>Olivia</t>
  </si>
  <si>
    <t>Chris</t>
  </si>
  <si>
    <t>Sophia</t>
  </si>
  <si>
    <t>John</t>
  </si>
  <si>
    <t>Emma</t>
  </si>
  <si>
    <t>Moore</t>
  </si>
  <si>
    <t>Davis</t>
  </si>
  <si>
    <t>Johnson</t>
  </si>
  <si>
    <t>Wilson</t>
  </si>
  <si>
    <t>Brown</t>
  </si>
  <si>
    <t>Miller</t>
  </si>
  <si>
    <t>Taylor</t>
  </si>
  <si>
    <t>Anderson</t>
  </si>
  <si>
    <t>Thomas</t>
  </si>
  <si>
    <t>Selecting the Total Price -&gt; Home tab -&gt; Conditional Formatting -&gt; Highlight Cell Rules -&gt;Greater than -&gt; 2000</t>
  </si>
  <si>
    <t>Use Conditional Formatting to highlight rows where "Category" is "Electronics" and "Total Price" is greater than $1000.</t>
  </si>
  <si>
    <t>Inserting Two colums naming First name and Last name -&gt; Then typing the First name and last name for first customer-&gt;</t>
  </si>
  <si>
    <r>
      <t xml:space="preserve">In next row Pressing </t>
    </r>
    <r>
      <rPr>
        <b/>
        <sz val="12"/>
        <color theme="1"/>
        <rFont val="Aptos Narrow"/>
        <family val="2"/>
        <scheme val="minor"/>
      </rPr>
      <t>[Ctrl + E]</t>
    </r>
    <r>
      <rPr>
        <sz val="12"/>
        <color theme="1"/>
        <rFont val="Aptos Narrow"/>
        <family val="2"/>
        <scheme val="minor"/>
      </rPr>
      <t xml:space="preserve">  fills all the cells with first name and last name  respectively  using </t>
    </r>
    <r>
      <rPr>
        <b/>
        <i/>
        <sz val="12"/>
        <color theme="1"/>
        <rFont val="Aptos Narrow"/>
        <family val="2"/>
        <scheme val="minor"/>
      </rPr>
      <t>"Flash Fill"</t>
    </r>
    <r>
      <rPr>
        <sz val="12"/>
        <color theme="1"/>
        <rFont val="Aptos Narrow"/>
        <family val="2"/>
        <scheme val="minor"/>
      </rPr>
      <t xml:space="preserve">  respectively.</t>
    </r>
  </si>
  <si>
    <t xml:space="preserve">Selecting Table Range A2:M100 -&gt; Conditional Formatting -&gt; New Rule -&gt; Use a Formula </t>
  </si>
  <si>
    <r>
      <t xml:space="preserve">[ </t>
    </r>
    <r>
      <rPr>
        <b/>
        <sz val="12"/>
        <color theme="1"/>
        <rFont val="Aptos Narrow"/>
        <family val="2"/>
        <scheme val="minor"/>
      </rPr>
      <t>=AND($H2="Electronics",$K2&gt;1000)</t>
    </r>
    <r>
      <rPr>
        <sz val="12"/>
        <color theme="1"/>
        <rFont val="Aptos Narrow"/>
        <family val="2"/>
        <scheme val="minor"/>
      </rPr>
      <t xml:space="preserve"> ] -&gt; Choose color</t>
    </r>
  </si>
  <si>
    <t>Select Regio -&gt; Home Tab -&gt; Under Editing -&gt; Sort &amp; Filter -&gt; Filter</t>
  </si>
  <si>
    <r>
      <t xml:space="preserve">Also We can press </t>
    </r>
    <r>
      <rPr>
        <b/>
        <sz val="12"/>
        <color theme="1"/>
        <rFont val="Aptos Narrow"/>
        <family val="2"/>
        <scheme val="minor"/>
      </rPr>
      <t xml:space="preserve">Ctrl+Shift+L </t>
    </r>
    <r>
      <rPr>
        <sz val="12"/>
        <color theme="1"/>
        <rFont val="Aptos Narrow"/>
        <family val="2"/>
        <scheme val="minor"/>
      </rPr>
      <t xml:space="preserve"> to Filter the Selected range</t>
    </r>
  </si>
  <si>
    <t>Some "Quantity" values contain text (e.g., "5"). Find and correct these errors.</t>
  </si>
  <si>
    <r>
      <t xml:space="preserve">Press </t>
    </r>
    <r>
      <rPr>
        <b/>
        <sz val="12"/>
        <color theme="1"/>
        <rFont val="Aptos Narrow"/>
        <family val="2"/>
        <scheme val="minor"/>
      </rPr>
      <t xml:space="preserve">Ctrl+H </t>
    </r>
    <r>
      <rPr>
        <sz val="12"/>
        <color theme="1"/>
        <rFont val="Aptos Narrow"/>
        <family val="2"/>
        <scheme val="minor"/>
      </rPr>
      <t>to Find &amp; Replace the "Five" with 5</t>
    </r>
  </si>
  <si>
    <r>
      <t>If We Want to correct the Total price too which is Linked with price can be calculated with</t>
    </r>
    <r>
      <rPr>
        <b/>
        <sz val="12"/>
        <color theme="1"/>
        <rFont val="Aptos Narrow"/>
        <family val="2"/>
        <scheme val="minor"/>
      </rPr>
      <t xml:space="preserve">[=I2*J2] </t>
    </r>
    <r>
      <rPr>
        <sz val="12"/>
        <color theme="1"/>
        <rFont val="Aptos Narrow"/>
        <family val="2"/>
        <scheme val="minor"/>
      </rPr>
      <t>and  Output in K2 dragging to the whole Sheet</t>
    </r>
  </si>
  <si>
    <t>( None of the Records removed, table Does'nt contain any Duplicates.)</t>
  </si>
  <si>
    <t>Grand Total</t>
  </si>
  <si>
    <t>Count of Customer Name</t>
  </si>
  <si>
    <t>Order Flag</t>
  </si>
  <si>
    <t xml:space="preserve">For Flagging the Customers With multiple Orders we can add A Helper Column  Which Shows If a customer has Multiple or Single order By Counting Custumer name If appearing more Than Once </t>
  </si>
  <si>
    <r>
      <t xml:space="preserve">Alternatively Here the Pivot table Indication the Count of Orders by Checking the Count of Customers of Duplicate Customers, </t>
    </r>
    <r>
      <rPr>
        <b/>
        <sz val="11"/>
        <color theme="1"/>
        <rFont val="Aptos Narrow"/>
        <family val="2"/>
        <scheme val="minor"/>
      </rPr>
      <t xml:space="preserve">Count&gt;1  </t>
    </r>
    <r>
      <rPr>
        <sz val="11"/>
        <color theme="1"/>
        <rFont val="Aptos Narrow"/>
        <family val="2"/>
        <scheme val="minor"/>
      </rPr>
      <t>means multiple orders  and then sort the table from Z-A highest count will be at the top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</si>
</sst>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6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wrapText="1"/>
    </xf>
    <xf numFmtId="0" fontId="7" fillId="4" borderId="14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YADAV" refreshedDate="46009.573015740738" createdVersion="8" refreshedVersion="8" minRefreshableVersion="3" recordCount="99" xr:uid="{DC2794DA-6B54-4ADF-B056-CF7A98BAEA6B}">
  <cacheSource type="worksheet">
    <worksheetSource ref="A1:M100" sheet="Sheet1"/>
  </cacheSource>
  <cacheFields count="13">
    <cacheField name="Order ID" numFmtId="0">
      <sharedItems/>
    </cacheField>
    <cacheField name="Customer Name" numFmtId="0">
      <sharedItems count="62">
        <s v="Jane Smith"/>
        <s v="Isabella Moore"/>
        <s v="Daniel Davis"/>
        <s v="Alex Moore"/>
        <s v="Michael Johnson"/>
        <s v="Daniel Johnson"/>
        <s v="Isabella Davis"/>
        <s v="Jane Davis"/>
        <s v="Alex Wilson"/>
        <s v="Isabella Brown"/>
        <s v="Olivia Smith"/>
        <s v="Isabella Wilson"/>
        <s v="Chris Brown"/>
        <s v="Olivia Davis"/>
        <s v="Alex Brown"/>
        <s v="Daniel Miller"/>
        <s v="Olivia Johnson"/>
        <s v="Daniel Brown"/>
        <s v="Sophia Smith"/>
        <s v="Jane Taylor"/>
        <s v="Chris Moore"/>
        <s v="Jane Wilson"/>
        <s v="John Davis"/>
        <s v="Sophia Davis"/>
        <s v="Michael Davis"/>
        <s v="John Johnson"/>
        <s v="Emma Anderson"/>
        <s v="Michael Smith"/>
        <s v="Alex Davis"/>
        <s v="John Smith"/>
        <s v="Michael Thomas"/>
        <s v="Emma Miller"/>
        <s v="John Taylor"/>
        <s v="Chris Johnson"/>
        <s v="Chris Smith"/>
        <s v="Daniel Smith"/>
        <s v="Isabella Anderson"/>
        <s v="Olivia Moore"/>
        <s v="Emma Moore"/>
        <s v="Daniel Wilson"/>
        <s v="Jane Thomas"/>
        <s v="Sophia Taylor"/>
        <s v="Chris Anderson"/>
        <s v="Emma Davis"/>
        <s v="Sophia Moore"/>
        <s v="John Anderson"/>
        <s v="Sophia Thomas"/>
        <s v="Sophia Miller"/>
        <s v="Chris Taylor"/>
        <s v="Michael Wilson"/>
        <s v="Alex Taylor"/>
        <s v="Jane Moore"/>
        <s v="Emma Taylor"/>
        <s v="Alex Miller"/>
        <s v="Emma Johnson"/>
        <s v="Isabella Smith"/>
        <s v="John Moore"/>
        <s v="Olivia Miller"/>
        <s v="Chris Thomas"/>
        <s v="Olivia Taylor"/>
        <s v="Jane Anderson"/>
        <s v="Olivia Brown"/>
      </sharedItems>
    </cacheField>
    <cacheField name="First Name" numFmtId="0">
      <sharedItems/>
    </cacheField>
    <cacheField name="Last Name" numFmtId="0">
      <sharedItems/>
    </cacheField>
    <cacheField name="Email Address" numFmtId="0">
      <sharedItems/>
    </cacheField>
    <cacheField name="Phone Number" numFmtId="0">
      <sharedItems containsSemiMixedTypes="0" containsString="0" containsNumber="1" containsInteger="1" minValue="6015228622" maxValue="9976125337"/>
    </cacheField>
    <cacheField name="Product 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 ($)" numFmtId="0">
      <sharedItems containsSemiMixedTypes="0" containsString="0" containsNumber="1" containsInteger="1" minValue="10" maxValue="500"/>
    </cacheField>
    <cacheField name="Total Price ($)" numFmtId="0">
      <sharedItems containsMixedTypes="1" containsNumber="1" containsInteger="1" minValue="70" maxValue="4482"/>
    </cacheField>
    <cacheField name="Region" numFmtId="0">
      <sharedItems/>
    </cacheField>
    <cacheField name="Order Date" numFmtId="0">
      <sharedItems containsDate="1" containsMixedTypes="1" minDate="2024-01-03T00:00:00" maxDate="2024-1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ORD1000"/>
    <x v="0"/>
    <s v="Jane"/>
    <s v="Smith"/>
    <s v="janesmith@gmail.com"/>
    <n v="9184935163"/>
    <s v="Shoes"/>
    <s v="Electronics"/>
    <n v="4"/>
    <n v="81"/>
    <n v="324"/>
    <s v="North"/>
    <d v="2024-12-04T00:00:00"/>
  </r>
  <r>
    <s v="ORD1001"/>
    <x v="1"/>
    <s v="Isabella"/>
    <s v="Moore"/>
    <s v="isabellamoore@gmail.com"/>
    <n v="6136505587"/>
    <s v="Laptop"/>
    <s v="Electronics"/>
    <n v="2"/>
    <n v="121"/>
    <n v="242"/>
    <s v="North"/>
    <s v="4/17/2024"/>
  </r>
  <r>
    <s v="ORD1002"/>
    <x v="2"/>
    <s v="Daniel"/>
    <s v="Davis"/>
    <s v="danieldavis@gmail.com"/>
    <n v="9075280817"/>
    <s v="Sofa"/>
    <s v="Clothing"/>
    <n v="4"/>
    <n v="239"/>
    <n v="956"/>
    <s v="North"/>
    <d v="2024-10-09T00:00:00"/>
  </r>
  <r>
    <s v="ORD1003"/>
    <x v="3"/>
    <s v="Alex"/>
    <s v="Moore"/>
    <s v="alexmoore@gmail.com"/>
    <n v="7461364854"/>
    <s v="headphones"/>
    <s v="Electronics"/>
    <n v="4"/>
    <n v="500"/>
    <n v="2000"/>
    <s v="North"/>
    <d v="2024-06-04T00:00:00"/>
  </r>
  <r>
    <s v="ORD1004"/>
    <x v="4"/>
    <s v="Michael"/>
    <s v="Johnson"/>
    <s v="michaeljohnson@gmail.com"/>
    <n v="7541804686"/>
    <s v="Table Lamp"/>
    <s v="Home Decor"/>
    <n v="5"/>
    <n v="423"/>
    <e v="#VALUE!"/>
    <s v="West"/>
    <s v="1/24/2024"/>
  </r>
  <r>
    <s v="ORD1005"/>
    <x v="5"/>
    <s v="Daniel"/>
    <s v="Johnson"/>
    <s v="danieljohnson@gmail.com"/>
    <n v="9961228449"/>
    <s v="Backpack"/>
    <s v="Electronics"/>
    <n v="9"/>
    <n v="160"/>
    <n v="1440"/>
    <s v="East"/>
    <s v="11/20/2024"/>
  </r>
  <r>
    <s v="ORD1006"/>
    <x v="6"/>
    <s v="Isabella"/>
    <s v="Davis"/>
    <s v="isabelladavis@gmail.com"/>
    <n v="9026113008"/>
    <s v="headphones"/>
    <s v="Electronics"/>
    <n v="1"/>
    <n v="348"/>
    <n v="348"/>
    <s v="East"/>
    <s v="4/25/2024"/>
  </r>
  <r>
    <s v="ORD1007"/>
    <x v="7"/>
    <s v="Jane"/>
    <s v="Davis"/>
    <s v="janedavis@gmail.com"/>
    <n v="9721519026"/>
    <s v="headphones"/>
    <s v="Electronics"/>
    <n v="7"/>
    <n v="152"/>
    <n v="1064"/>
    <s v="East"/>
    <s v="8/21/2024"/>
  </r>
  <r>
    <s v="ORD1008"/>
    <x v="8"/>
    <s v="Alex"/>
    <s v="Wilson"/>
    <s v="alexwilson@gmail.com"/>
    <n v="7525876051"/>
    <s v="T-shirt"/>
    <s v="Home Decor"/>
    <n v="5"/>
    <n v="369"/>
    <e v="#VALUE!"/>
    <s v="North"/>
    <s v="11/21/2024"/>
  </r>
  <r>
    <s v="ORD1009"/>
    <x v="9"/>
    <s v="Isabella"/>
    <s v="Brown"/>
    <s v="isabellabrown@gmail.com"/>
    <n v="8294113287"/>
    <s v="T-shirt"/>
    <s v="Electronics"/>
    <n v="8"/>
    <n v="204"/>
    <n v="1632"/>
    <s v="South"/>
    <s v="5/21/2024"/>
  </r>
  <r>
    <s v="ORD1010"/>
    <x v="10"/>
    <s v="Olivia"/>
    <s v="Smith"/>
    <s v="oliviasmith@gmail.com"/>
    <n v="6983753977"/>
    <s v="Laptop"/>
    <s v="Electronics"/>
    <n v="6"/>
    <n v="215"/>
    <n v="1290"/>
    <s v="South"/>
    <d v="2024-05-03T00:00:00"/>
  </r>
  <r>
    <s v="ORD1011"/>
    <x v="11"/>
    <s v="Isabella"/>
    <s v="Wilson"/>
    <s v="isabellawilson@gmail.com"/>
    <n v="6913224047"/>
    <s v="Smartwatch"/>
    <s v="Electronics"/>
    <n v="7"/>
    <n v="462"/>
    <n v="3234"/>
    <s v="South"/>
    <s v="11/15/2024"/>
  </r>
  <r>
    <s v="ORD1012"/>
    <x v="12"/>
    <s v="Chris"/>
    <s v="Brown"/>
    <s v="chrisbrown@gmail.com"/>
    <n v="7059257080"/>
    <s v="Sofa"/>
    <s v="Home Decor"/>
    <n v="5"/>
    <n v="392"/>
    <e v="#VALUE!"/>
    <s v="West"/>
    <s v="10/14/2024"/>
  </r>
  <r>
    <s v="ORD1013"/>
    <x v="13"/>
    <s v="Olivia"/>
    <s v="Davis"/>
    <s v="oliviadavis@gmail.com"/>
    <n v="6594130308"/>
    <s v="Sofa"/>
    <s v="Clothing"/>
    <n v="2"/>
    <n v="396"/>
    <n v="792"/>
    <s v="North"/>
    <s v="1/28/2024"/>
  </r>
  <r>
    <s v="ORD1014"/>
    <x v="14"/>
    <s v="Alex"/>
    <s v="Brown"/>
    <s v="alexbrown@gmail.com"/>
    <n v="9401954956"/>
    <s v="Backpack"/>
    <s v="Home Decor"/>
    <n v="2"/>
    <n v="207"/>
    <n v="414"/>
    <s v="West"/>
    <s v="7/20/2024"/>
  </r>
  <r>
    <s v="ORD1015"/>
    <x v="15"/>
    <s v="Daniel"/>
    <s v="Miller"/>
    <s v="danielmiller@gmail.com"/>
    <n v="8376087131"/>
    <s v="Laptop"/>
    <s v="Electronics"/>
    <n v="2"/>
    <n v="359"/>
    <n v="718"/>
    <s v="East"/>
    <s v="9/25/2024"/>
  </r>
  <r>
    <s v="ORD1016"/>
    <x v="16"/>
    <s v="Olivia"/>
    <s v="Johnson"/>
    <s v="oliviajohnson@gmail.com"/>
    <n v="7260573448"/>
    <s v="Backpack"/>
    <s v="Electronics"/>
    <n v="8"/>
    <n v="11"/>
    <n v="88"/>
    <s v="East"/>
    <s v="12/24/2024"/>
  </r>
  <r>
    <s v="ORD1017"/>
    <x v="17"/>
    <s v="Daniel"/>
    <s v="Brown"/>
    <s v="danielbrown@gmail.com"/>
    <n v="8180476188"/>
    <s v="headphones"/>
    <s v="Electronics"/>
    <n v="5"/>
    <n v="440"/>
    <e v="#VALUE!"/>
    <s v="South"/>
    <s v="11/17/2024"/>
  </r>
  <r>
    <s v="ORD1018"/>
    <x v="8"/>
    <s v="Alex"/>
    <s v="Wilson"/>
    <s v="alexwilson@gmail.com"/>
    <n v="9274958945"/>
    <s v="Smartphone"/>
    <s v="Electronics"/>
    <n v="9"/>
    <n v="498"/>
    <n v="4482"/>
    <s v="East"/>
    <d v="2024-09-01T00:00:00"/>
  </r>
  <r>
    <s v="ORD1019"/>
    <x v="18"/>
    <s v="Sophia"/>
    <s v="Smith"/>
    <s v="sophiasmith@gmail.com"/>
    <n v="6480468219"/>
    <s v="Table Lamp"/>
    <s v="Clothing"/>
    <n v="4"/>
    <n v="39"/>
    <n v="156"/>
    <s v="North"/>
    <s v="4/19/2024"/>
  </r>
  <r>
    <s v="ORD1020"/>
    <x v="19"/>
    <s v="Jane"/>
    <s v="Taylor"/>
    <s v="janetaylor@gmail.com"/>
    <n v="9504793184"/>
    <s v="headphones"/>
    <s v="Electronics"/>
    <n v="9"/>
    <n v="402"/>
    <n v="3618"/>
    <s v="West"/>
    <d v="2024-03-05T00:00:00"/>
  </r>
  <r>
    <s v="ORD1021"/>
    <x v="17"/>
    <s v="Daniel"/>
    <s v="Brown"/>
    <s v="danielbrown@gmail.com"/>
    <n v="7138409539"/>
    <s v="Sofa"/>
    <s v="Home Decor"/>
    <n v="7"/>
    <n v="118"/>
    <n v="826"/>
    <s v="South"/>
    <s v="9/25/2024"/>
  </r>
  <r>
    <s v="ORD1022"/>
    <x v="20"/>
    <s v="Chris"/>
    <s v="Moore"/>
    <s v="chrismoore@gmail.com"/>
    <n v="8884873529"/>
    <s v="Table Lamp"/>
    <s v="Clothing"/>
    <n v="9"/>
    <n v="241"/>
    <n v="2169"/>
    <s v="South"/>
    <d v="2024-02-08T00:00:00"/>
  </r>
  <r>
    <s v="ORD1023"/>
    <x v="21"/>
    <s v="Jane"/>
    <s v="Wilson"/>
    <s v="janewilson@gmail.com"/>
    <n v="6090341465"/>
    <s v="Coffee Maker"/>
    <s v="Home Decor"/>
    <n v="4"/>
    <n v="311"/>
    <n v="1244"/>
    <s v="North"/>
    <d v="2024-04-01T00:00:00"/>
  </r>
  <r>
    <s v="ORD1024"/>
    <x v="22"/>
    <s v="John"/>
    <s v="Davis"/>
    <s v="johndavis@gmail.com"/>
    <n v="6289482182"/>
    <s v="Laptop"/>
    <s v="Electronics"/>
    <n v="6"/>
    <n v="46"/>
    <n v="276"/>
    <s v="East"/>
    <d v="2024-09-08T00:00:00"/>
  </r>
  <r>
    <s v="ORD1025"/>
    <x v="23"/>
    <s v="Sophia"/>
    <s v="Davis"/>
    <s v="sophiadavis@gmail.com"/>
    <n v="8315992115"/>
    <s v="Smartphone"/>
    <s v="Electronics"/>
    <n v="10"/>
    <n v="305"/>
    <n v="3050"/>
    <s v="West"/>
    <d v="2024-08-08T00:00:00"/>
  </r>
  <r>
    <s v="ORD1026"/>
    <x v="24"/>
    <s v="Michael"/>
    <s v="Davis"/>
    <s v="michaeldavis@gmail.com"/>
    <n v="6405126228"/>
    <s v="headphones"/>
    <s v="Electronics"/>
    <n v="7"/>
    <n v="191"/>
    <n v="1337"/>
    <s v="West"/>
    <s v="7/14/2024"/>
  </r>
  <r>
    <s v="ORD1027"/>
    <x v="25"/>
    <s v="John"/>
    <s v="Johnson"/>
    <s v="johnjohnson@gmail.com"/>
    <n v="6260329455"/>
    <s v="Backpack"/>
    <s v="Home Decor"/>
    <n v="6"/>
    <n v="419"/>
    <n v="2514"/>
    <s v="South"/>
    <d v="2024-02-08T00:00:00"/>
  </r>
  <r>
    <s v="ORD1028"/>
    <x v="26"/>
    <s v="Emma"/>
    <s v="Anderson"/>
    <s v="emmaanderson@gmail.com"/>
    <n v="7926780541"/>
    <s v="Smartphone"/>
    <s v="Electronics"/>
    <n v="7"/>
    <n v="103"/>
    <n v="721"/>
    <s v="South"/>
    <s v="5/15/2024"/>
  </r>
  <r>
    <s v="ORD1029"/>
    <x v="19"/>
    <s v="Jane"/>
    <s v="Taylor"/>
    <s v="janetaylor@gmail.com"/>
    <n v="9470429115"/>
    <s v="Sofa"/>
    <s v="Electronics"/>
    <n v="1"/>
    <n v="343"/>
    <n v="343"/>
    <s v="North"/>
    <s v="9/27/2024"/>
  </r>
  <r>
    <s v="ORD1030"/>
    <x v="7"/>
    <s v="Jane"/>
    <s v="Davis"/>
    <s v="janedavis@gmail.com"/>
    <n v="6714300770"/>
    <s v="Backpack"/>
    <s v="Clothing"/>
    <n v="8"/>
    <n v="119"/>
    <n v="952"/>
    <s v="South"/>
    <d v="2024-07-02T00:00:00"/>
  </r>
  <r>
    <s v="ORD1031"/>
    <x v="27"/>
    <s v="Michael"/>
    <s v="Smith"/>
    <s v="michaelsmith@gmail.com"/>
    <n v="7676848676"/>
    <s v="Shoes"/>
    <s v="Clothing"/>
    <n v="5"/>
    <n v="226"/>
    <e v="#VALUE!"/>
    <s v="West"/>
    <s v="12/24/2024"/>
  </r>
  <r>
    <s v="ORD1032"/>
    <x v="28"/>
    <s v="Alex"/>
    <s v="Davis"/>
    <s v="alexdavis@gmail.com"/>
    <n v="7274350418"/>
    <s v="T-shirt"/>
    <s v="Electronics"/>
    <n v="10"/>
    <n v="386"/>
    <n v="3860"/>
    <s v="East"/>
    <d v="2024-09-02T00:00:00"/>
  </r>
  <r>
    <s v="ORD1033"/>
    <x v="29"/>
    <s v="John"/>
    <s v="Smith"/>
    <s v="johnsmith@gmail.com"/>
    <n v="8509023674"/>
    <s v="Smartwatch"/>
    <s v="Electronics"/>
    <n v="9"/>
    <n v="480"/>
    <n v="4320"/>
    <s v="North"/>
    <d v="2024-09-06T00:00:00"/>
  </r>
  <r>
    <s v="ORD1034"/>
    <x v="5"/>
    <s v="Daniel"/>
    <s v="Johnson"/>
    <s v="danieljohnson@gmail.com"/>
    <n v="9656488400"/>
    <s v="Smartphone"/>
    <s v="Electronics"/>
    <n v="2"/>
    <n v="314"/>
    <n v="628"/>
    <s v="South"/>
    <s v="2/22/2024"/>
  </r>
  <r>
    <s v="ORD1035"/>
    <x v="4"/>
    <s v="Michael"/>
    <s v="Johnson"/>
    <s v="michaeljohnson@gmail.com"/>
    <n v="9823754905"/>
    <s v="Coffee Maker"/>
    <s v="Electronics"/>
    <n v="10"/>
    <n v="314"/>
    <n v="3140"/>
    <s v="North"/>
    <s v="1/20/2024"/>
  </r>
  <r>
    <s v="ORD1036"/>
    <x v="30"/>
    <s v="Michael"/>
    <s v="Thomas"/>
    <s v="michaelthomas@gmail.com"/>
    <n v="8427631155"/>
    <s v="Sofa"/>
    <s v="Clothing"/>
    <n v="5"/>
    <n v="114"/>
    <e v="#VALUE!"/>
    <s v="East"/>
    <s v="11/23/2024"/>
  </r>
  <r>
    <s v="ORD1037"/>
    <x v="31"/>
    <s v="Emma"/>
    <s v="Miller"/>
    <s v="emmamiller@gmail.com"/>
    <n v="7699887270"/>
    <s v="Smartphone"/>
    <s v="Electronics"/>
    <n v="5"/>
    <n v="244"/>
    <e v="#VALUE!"/>
    <s v="North"/>
    <s v="6/25/2024"/>
  </r>
  <r>
    <s v="ORD1038"/>
    <x v="32"/>
    <s v="John"/>
    <s v="Taylor"/>
    <s v="johntaylor@gmail.com"/>
    <n v="8667858669"/>
    <s v="Coffee Maker"/>
    <s v="Electronics"/>
    <n v="2"/>
    <n v="285"/>
    <n v="570"/>
    <s v="East"/>
    <s v="4/17/2024"/>
  </r>
  <r>
    <s v="ORD1039"/>
    <x v="8"/>
    <s v="Alex"/>
    <s v="Wilson"/>
    <s v="alexwilson@gmail.com"/>
    <n v="9783282817"/>
    <s v="headphones"/>
    <s v="Electronics"/>
    <n v="4"/>
    <n v="199"/>
    <n v="796"/>
    <s v="West"/>
    <d v="2024-05-06T00:00:00"/>
  </r>
  <r>
    <s v="ORD1040"/>
    <x v="15"/>
    <s v="Daniel"/>
    <s v="Miller"/>
    <s v="danielmiller@gmail.com"/>
    <n v="8627135980"/>
    <s v="Sofa"/>
    <s v="Electronics"/>
    <n v="9"/>
    <n v="163"/>
    <n v="1467"/>
    <s v="South"/>
    <d v="2024-11-04T00:00:00"/>
  </r>
  <r>
    <s v="ORD1041"/>
    <x v="33"/>
    <s v="Chris"/>
    <s v="Johnson"/>
    <s v="chrisjohnson@gmail.com"/>
    <n v="9821286999"/>
    <s v="headphones"/>
    <s v="Electronics"/>
    <n v="9"/>
    <n v="89"/>
    <n v="801"/>
    <s v="South"/>
    <d v="2024-05-10T00:00:00"/>
  </r>
  <r>
    <s v="ORD1042"/>
    <x v="13"/>
    <s v="Olivia"/>
    <s v="Davis"/>
    <s v="oliviadavis@gmail.com"/>
    <n v="8952777682"/>
    <s v="Shoes"/>
    <s v="Home Decor"/>
    <n v="8"/>
    <n v="138"/>
    <n v="1104"/>
    <s v="West"/>
    <d v="2024-01-03T00:00:00"/>
  </r>
  <r>
    <s v="ORD1043"/>
    <x v="34"/>
    <s v="Chris"/>
    <s v="Smith"/>
    <s v="chrissmith@gmail.com"/>
    <n v="6015228622"/>
    <s v="Table Lamp"/>
    <s v="Electronics"/>
    <n v="5"/>
    <n v="92"/>
    <e v="#VALUE!"/>
    <s v="West"/>
    <s v="12/15/2024"/>
  </r>
  <r>
    <s v="ORD1044"/>
    <x v="35"/>
    <s v="Daniel"/>
    <s v="Smith"/>
    <s v="danielsmith@gmail.com"/>
    <n v="6480494664"/>
    <s v="headphones"/>
    <s v="Electronics"/>
    <n v="3"/>
    <n v="289"/>
    <n v="867"/>
    <s v="East"/>
    <s v="1/27/2024"/>
  </r>
  <r>
    <s v="ORD1045"/>
    <x v="36"/>
    <s v="Isabella"/>
    <s v="Anderson"/>
    <s v="isabellaanderson@gmail.com"/>
    <n v="6636057975"/>
    <s v="Backpack"/>
    <s v="Electronics"/>
    <n v="1"/>
    <n v="167"/>
    <n v="167"/>
    <s v="North"/>
    <s v="6/26/2024"/>
  </r>
  <r>
    <s v="ORD1046"/>
    <x v="13"/>
    <s v="Olivia"/>
    <s v="Davis"/>
    <s v="oliviadavis@gmail.com"/>
    <n v="8929454134"/>
    <s v="T-shirt"/>
    <s v="Home Decor"/>
    <n v="2"/>
    <n v="191"/>
    <n v="382"/>
    <s v="West"/>
    <s v="9/28/2024"/>
  </r>
  <r>
    <s v="ORD1047"/>
    <x v="9"/>
    <s v="Isabella"/>
    <s v="Brown"/>
    <s v="isabellabrown@gmail.com"/>
    <n v="9976125337"/>
    <s v="T-shirt"/>
    <s v="Electronics"/>
    <n v="3"/>
    <n v="461"/>
    <n v="1383"/>
    <s v="South"/>
    <d v="2024-07-01T00:00:00"/>
  </r>
  <r>
    <s v="ORD1048"/>
    <x v="37"/>
    <s v="Olivia"/>
    <s v="Moore"/>
    <s v="oliviamoore@gmail.com"/>
    <n v="9445573666"/>
    <s v="T-shirt"/>
    <s v="Clothing"/>
    <n v="3"/>
    <n v="413"/>
    <n v="1239"/>
    <s v="West"/>
    <d v="2024-12-04T00:00:00"/>
  </r>
  <r>
    <s v="ORD1049"/>
    <x v="32"/>
    <s v="John"/>
    <s v="Taylor"/>
    <s v="johntaylor@gmail.com"/>
    <n v="6955345537"/>
    <s v="T-shirt"/>
    <s v="Clothing"/>
    <n v="6"/>
    <n v="166"/>
    <n v="996"/>
    <s v="North"/>
    <d v="2024-04-08T00:00:00"/>
  </r>
  <r>
    <s v="ORD1050"/>
    <x v="38"/>
    <s v="Emma"/>
    <s v="Moore"/>
    <s v="emmamoore@gmail.com"/>
    <n v="7409874348"/>
    <s v="Shoes"/>
    <s v="Electronics"/>
    <n v="5"/>
    <n v="189"/>
    <e v="#VALUE!"/>
    <s v="West"/>
    <s v="11/17/2024"/>
  </r>
  <r>
    <s v="ORD1051"/>
    <x v="39"/>
    <s v="Daniel"/>
    <s v="Wilson"/>
    <s v="danielwilson@gmail.com"/>
    <n v="6118543408"/>
    <s v="headphones"/>
    <s v="Electronics"/>
    <n v="5"/>
    <n v="101"/>
    <e v="#VALUE!"/>
    <s v="North"/>
    <d v="2024-10-09T00:00:00"/>
  </r>
  <r>
    <s v="ORD1052"/>
    <x v="40"/>
    <s v="Jane"/>
    <s v="Thomas"/>
    <s v="janethomas@gmail.com"/>
    <n v="7866437132"/>
    <s v="Table Lamp"/>
    <s v="Home Decor"/>
    <n v="6"/>
    <n v="233"/>
    <n v="1398"/>
    <s v="North"/>
    <s v="10/17/2024"/>
  </r>
  <r>
    <s v="ORD1053"/>
    <x v="30"/>
    <s v="Michael"/>
    <s v="Thomas"/>
    <s v="michaelthomas@gmail.com"/>
    <n v="6816382125"/>
    <s v="Shoes"/>
    <s v="Electronics"/>
    <n v="7"/>
    <n v="10"/>
    <n v="70"/>
    <s v="South"/>
    <s v="9/26/2024"/>
  </r>
  <r>
    <s v="ORD1054"/>
    <x v="37"/>
    <s v="Olivia"/>
    <s v="Moore"/>
    <s v="oliviamoore@gmail.com"/>
    <n v="6300535210"/>
    <s v="Table Lamp"/>
    <s v="Home Decor"/>
    <n v="6"/>
    <n v="349"/>
    <n v="2094"/>
    <s v="East"/>
    <s v="2/24/2024"/>
  </r>
  <r>
    <s v="ORD1055"/>
    <x v="15"/>
    <s v="Daniel"/>
    <s v="Miller"/>
    <s v="danielmiller@gmail.com"/>
    <n v="8864283209"/>
    <s v="Backpack"/>
    <s v="Clothing"/>
    <n v="7"/>
    <n v="366"/>
    <n v="2562"/>
    <s v="South"/>
    <s v="5/18/2024"/>
  </r>
  <r>
    <s v="ORD1056"/>
    <x v="38"/>
    <s v="Emma"/>
    <s v="Moore"/>
    <s v="emmamoore@gmail.com"/>
    <n v="8855850145"/>
    <s v="Backpack"/>
    <s v="Home Decor"/>
    <n v="3"/>
    <n v="325"/>
    <n v="975"/>
    <s v="West"/>
    <d v="2024-10-10T00:00:00"/>
  </r>
  <r>
    <s v="ORD1057"/>
    <x v="35"/>
    <s v="Daniel"/>
    <s v="Smith"/>
    <s v="danielsmith@gmail.com"/>
    <n v="7305132983"/>
    <s v="Shoes"/>
    <s v="Electronics"/>
    <n v="7"/>
    <n v="412"/>
    <n v="2884"/>
    <s v="East"/>
    <s v="10/20/2024"/>
  </r>
  <r>
    <s v="ORD1058"/>
    <x v="41"/>
    <s v="Sophia"/>
    <s v="Taylor"/>
    <s v="sophiataylor@gmail.com"/>
    <n v="7899061865"/>
    <s v="T-shirt"/>
    <s v="Home Decor"/>
    <n v="8"/>
    <n v="416"/>
    <n v="3328"/>
    <s v="North"/>
    <d v="2024-12-06T00:00:00"/>
  </r>
  <r>
    <s v="ORD1059"/>
    <x v="42"/>
    <s v="Chris"/>
    <s v="Anderson"/>
    <s v="chrisanderson@gmail.com"/>
    <n v="8851230518"/>
    <s v="Coffee Maker"/>
    <s v="Clothing"/>
    <n v="2"/>
    <n v="429"/>
    <n v="858"/>
    <s v="East"/>
    <s v="4/22/2024"/>
  </r>
  <r>
    <s v="ORD1060"/>
    <x v="43"/>
    <s v="Emma"/>
    <s v="Davis"/>
    <s v="emmadavis@gmail.com"/>
    <n v="6632880459"/>
    <s v="Laptop"/>
    <s v="Electronics"/>
    <n v="1"/>
    <n v="135"/>
    <n v="135"/>
    <s v="North"/>
    <s v="8/20/2024"/>
  </r>
  <r>
    <s v="ORD1061"/>
    <x v="44"/>
    <s v="Sophia"/>
    <s v="Moore"/>
    <s v="sophiamoore@gmail.com"/>
    <n v="9805929053"/>
    <s v="Coffee Maker"/>
    <s v="Electronics"/>
    <n v="7"/>
    <n v="263"/>
    <n v="1841"/>
    <s v="South"/>
    <d v="2024-07-08T00:00:00"/>
  </r>
  <r>
    <s v="ORD1062"/>
    <x v="25"/>
    <s v="John"/>
    <s v="Johnson"/>
    <s v="johnjohnson@gmail.com"/>
    <n v="9343290201"/>
    <s v="Backpack"/>
    <s v="Electronics"/>
    <n v="3"/>
    <n v="421"/>
    <n v="1263"/>
    <s v="West"/>
    <s v="12/17/2024"/>
  </r>
  <r>
    <s v="ORD1063"/>
    <x v="45"/>
    <s v="John"/>
    <s v="Anderson"/>
    <s v="johnanderson@gmail.com"/>
    <n v="7070298438"/>
    <s v="headphones"/>
    <s v="Electronics"/>
    <n v="8"/>
    <n v="78"/>
    <n v="624"/>
    <s v="East"/>
    <s v="8/22/2024"/>
  </r>
  <r>
    <s v="ORD1064"/>
    <x v="46"/>
    <s v="Sophia"/>
    <s v="Thomas"/>
    <s v="sophiathomas@gmail.com"/>
    <n v="9500426290"/>
    <s v="Sofa"/>
    <s v="Clothing"/>
    <n v="9"/>
    <n v="238"/>
    <n v="2142"/>
    <s v="West"/>
    <s v="3/24/2024"/>
  </r>
  <r>
    <s v="ORD1065"/>
    <x v="47"/>
    <s v="Sophia"/>
    <s v="Miller"/>
    <s v="sophiamiller@gmail.com"/>
    <n v="9228856718"/>
    <s v="T-shirt"/>
    <s v="Home Decor"/>
    <n v="5"/>
    <n v="402"/>
    <e v="#VALUE!"/>
    <s v="South"/>
    <s v="9/16/2024"/>
  </r>
  <r>
    <s v="ORD1066"/>
    <x v="48"/>
    <s v="Chris"/>
    <s v="Taylor"/>
    <s v="christaylor@gmail.com"/>
    <n v="6332788471"/>
    <s v="Shoes"/>
    <s v="Electronics"/>
    <n v="5"/>
    <n v="181"/>
    <e v="#VALUE!"/>
    <s v="North"/>
    <s v="6/18/2024"/>
  </r>
  <r>
    <s v="ORD1067"/>
    <x v="14"/>
    <s v="Alex"/>
    <s v="Brown"/>
    <s v="alexbrown@gmail.com"/>
    <n v="6993260504"/>
    <s v="Backpack"/>
    <s v="Home Decor"/>
    <n v="3"/>
    <n v="371"/>
    <n v="1113"/>
    <s v="West"/>
    <d v="2024-04-03T00:00:00"/>
  </r>
  <r>
    <s v="ORD1068"/>
    <x v="49"/>
    <s v="Michael"/>
    <s v="Wilson"/>
    <s v="michaelwilson@gmail.com"/>
    <n v="8330497115"/>
    <s v="Smartwatch"/>
    <s v="Electronics"/>
    <n v="7"/>
    <n v="41"/>
    <n v="287"/>
    <s v="West"/>
    <s v="4/27/2024"/>
  </r>
  <r>
    <s v="ORD1069"/>
    <x v="30"/>
    <s v="Michael"/>
    <s v="Thomas"/>
    <s v="michaelthomas@gmail.com"/>
    <n v="8987248494"/>
    <s v="Laptop"/>
    <s v="Electronics"/>
    <n v="10"/>
    <n v="204"/>
    <n v="2040"/>
    <s v="East"/>
    <d v="2024-08-01T00:00:00"/>
  </r>
  <r>
    <s v="ORD1070"/>
    <x v="20"/>
    <s v="Chris"/>
    <s v="Moore"/>
    <s v="chrismoore@gmail.com"/>
    <n v="9665531029"/>
    <s v="Backpack"/>
    <s v="Home Decor"/>
    <n v="9"/>
    <n v="419"/>
    <n v="3771"/>
    <s v="West"/>
    <d v="2024-10-08T00:00:00"/>
  </r>
  <r>
    <s v="ORD1071"/>
    <x v="31"/>
    <s v="Emma"/>
    <s v="Miller"/>
    <s v="emmamiller@gmail.com"/>
    <n v="7871901278"/>
    <s v="Smartwatch"/>
    <s v="Electronics"/>
    <n v="1"/>
    <n v="209"/>
    <n v="209"/>
    <s v="West"/>
    <s v="6/22/2024"/>
  </r>
  <r>
    <s v="ORD1072"/>
    <x v="50"/>
    <s v="Alex"/>
    <s v="Taylor"/>
    <s v="alextaylor@gmail.com"/>
    <n v="9949401194"/>
    <s v="Smartphone"/>
    <s v="Electronics"/>
    <n v="10"/>
    <n v="283"/>
    <n v="2830"/>
    <s v="North"/>
    <s v="1/13/2024"/>
  </r>
  <r>
    <s v="ORD1073"/>
    <x v="51"/>
    <s v="Jane"/>
    <s v="Moore"/>
    <s v="janemoore@gmail.com"/>
    <n v="6582824840"/>
    <s v="Smartwatch"/>
    <s v="Electronics"/>
    <n v="3"/>
    <n v="35"/>
    <n v="105"/>
    <s v="East"/>
    <s v="5/13/2024"/>
  </r>
  <r>
    <s v="ORD1074"/>
    <x v="52"/>
    <s v="Emma"/>
    <s v="Taylor"/>
    <s v="emmataylor@gmail.com"/>
    <n v="7403792057"/>
    <s v="Table Lamp"/>
    <s v="Clothing"/>
    <n v="5"/>
    <n v="395"/>
    <e v="#VALUE!"/>
    <s v="North"/>
    <d v="2024-07-09T00:00:00"/>
  </r>
  <r>
    <s v="ORD1075"/>
    <x v="18"/>
    <s v="Sophia"/>
    <s v="Smith"/>
    <s v="sophiasmith@gmail.com"/>
    <n v="9217034696"/>
    <s v="Sofa"/>
    <s v="Electronics"/>
    <n v="6"/>
    <n v="124"/>
    <n v="744"/>
    <s v="North"/>
    <d v="2024-11-03T00:00:00"/>
  </r>
  <r>
    <s v="ORD1076"/>
    <x v="22"/>
    <s v="John"/>
    <s v="Davis"/>
    <s v="johndavis@gmail.com"/>
    <n v="6856247605"/>
    <s v="Laptop"/>
    <s v="Electronics"/>
    <n v="10"/>
    <n v="88"/>
    <n v="880"/>
    <s v="West"/>
    <d v="2024-04-05T00:00:00"/>
  </r>
  <r>
    <s v="ORD1077"/>
    <x v="40"/>
    <s v="Jane"/>
    <s v="Thomas"/>
    <s v="janethomas@gmail.com"/>
    <n v="6936150587"/>
    <s v="Smartwatch"/>
    <s v="Electronics"/>
    <n v="5"/>
    <n v="402"/>
    <e v="#VALUE!"/>
    <s v="North"/>
    <d v="2024-06-06T00:00:00"/>
  </r>
  <r>
    <s v="ORD1078"/>
    <x v="53"/>
    <s v="Alex"/>
    <s v="Miller"/>
    <s v="alexmiller@gmail.com"/>
    <n v="6464280597"/>
    <s v="Coffee Maker"/>
    <s v="Electronics"/>
    <n v="5"/>
    <n v="304"/>
    <e v="#VALUE!"/>
    <s v="West"/>
    <s v="11/13/2024"/>
  </r>
  <r>
    <s v="ORD1079"/>
    <x v="54"/>
    <s v="Emma"/>
    <s v="Johnson"/>
    <s v="emmajohnson@gmail.com"/>
    <n v="8543040948"/>
    <s v="T-shirt"/>
    <s v="Electronics"/>
    <n v="5"/>
    <n v="445"/>
    <e v="#VALUE!"/>
    <s v="North"/>
    <s v="11/20/2024"/>
  </r>
  <r>
    <s v="ORD1080"/>
    <x v="55"/>
    <s v="Isabella"/>
    <s v="Smith"/>
    <s v="isabellasmith@gmail.com"/>
    <n v="7491228808"/>
    <s v="Sofa"/>
    <s v="Clothing"/>
    <n v="6"/>
    <n v="45"/>
    <n v="270"/>
    <s v="East"/>
    <s v="9/21/2024"/>
  </r>
  <r>
    <s v="ORD1081"/>
    <x v="56"/>
    <s v="John"/>
    <s v="Moore"/>
    <s v="johnmoore@gmail.com"/>
    <n v="9531884396"/>
    <s v="Smartwatch"/>
    <s v="Electronics"/>
    <n v="2"/>
    <n v="231"/>
    <n v="462"/>
    <s v="West"/>
    <s v="6/21/2024"/>
  </r>
  <r>
    <s v="ORD1082"/>
    <x v="3"/>
    <s v="Alex"/>
    <s v="Moore"/>
    <s v="alexmoore@gmail.com"/>
    <n v="6756502473"/>
    <s v="Sofa"/>
    <s v="Home Decor"/>
    <n v="5"/>
    <n v="325"/>
    <e v="#VALUE!"/>
    <s v="West"/>
    <s v="9/25/2024"/>
  </r>
  <r>
    <s v="ORD1083"/>
    <x v="44"/>
    <s v="Sophia"/>
    <s v="Moore"/>
    <s v="sophiamoore@gmail.com"/>
    <n v="9546503094"/>
    <s v="Coffee Maker"/>
    <s v="Clothing"/>
    <n v="6"/>
    <n v="446"/>
    <n v="2676"/>
    <s v="North"/>
    <s v="4/27/2024"/>
  </r>
  <r>
    <s v="ORD1084"/>
    <x v="48"/>
    <s v="Chris"/>
    <s v="Taylor"/>
    <s v="christaylor@gmail.com"/>
    <n v="7047385483"/>
    <s v="Smartwatch"/>
    <s v="Electronics"/>
    <n v="10"/>
    <n v="322"/>
    <n v="3220"/>
    <s v="East"/>
    <s v="11/13/2024"/>
  </r>
  <r>
    <s v="ORD1085"/>
    <x v="32"/>
    <s v="John"/>
    <s v="Taylor"/>
    <s v="johntaylor@gmail.com"/>
    <n v="9654814605"/>
    <s v="Table Lamp"/>
    <s v="Electronics"/>
    <n v="8"/>
    <n v="118"/>
    <n v="944"/>
    <s v="East"/>
    <s v="6/26/2024"/>
  </r>
  <r>
    <s v="ORD1086"/>
    <x v="57"/>
    <s v="Olivia"/>
    <s v="Miller"/>
    <s v="oliviamiller@gmail.com"/>
    <n v="9780945510"/>
    <s v="Coffee Maker"/>
    <s v="Home Decor"/>
    <n v="5"/>
    <n v="294"/>
    <e v="#VALUE!"/>
    <s v="South"/>
    <s v="1/17/2024"/>
  </r>
  <r>
    <s v="ORD1087"/>
    <x v="7"/>
    <s v="Jane"/>
    <s v="Davis"/>
    <s v="janedavis@gmail.com"/>
    <n v="9092697141"/>
    <s v="Backpack"/>
    <s v="Clothing"/>
    <n v="9"/>
    <n v="398"/>
    <n v="3582"/>
    <s v="West"/>
    <s v="4/23/2024"/>
  </r>
  <r>
    <s v="ORD1088"/>
    <x v="41"/>
    <s v="Sophia"/>
    <s v="Taylor"/>
    <s v="sophiataylor@gmail.com"/>
    <n v="9405620755"/>
    <s v="Laptop"/>
    <s v="Electronics"/>
    <n v="2"/>
    <n v="160"/>
    <n v="320"/>
    <s v="South"/>
    <s v="4/13/2024"/>
  </r>
  <r>
    <s v="ORD1089"/>
    <x v="58"/>
    <s v="Chris"/>
    <s v="Thomas"/>
    <s v="christhomas@gmail.com"/>
    <n v="7584930775"/>
    <s v="Smartwatch"/>
    <s v="Electronics"/>
    <n v="9"/>
    <n v="281"/>
    <n v="2529"/>
    <s v="East"/>
    <s v="6/14/2024"/>
  </r>
  <r>
    <s v="ORD1090"/>
    <x v="59"/>
    <s v="Olivia"/>
    <s v="Taylor"/>
    <s v="oliviataylor@gmail.com"/>
    <n v="7163577186"/>
    <s v="Shoes"/>
    <s v="Clothing"/>
    <n v="4"/>
    <n v="71"/>
    <n v="284"/>
    <s v="East"/>
    <d v="2024-12-07T00:00:00"/>
  </r>
  <r>
    <s v="ORD1091"/>
    <x v="60"/>
    <s v="Jane"/>
    <s v="Anderson"/>
    <s v="janeanderson@gmail.com"/>
    <n v="9273579452"/>
    <s v="Smartphone"/>
    <s v="Electronics"/>
    <n v="4"/>
    <n v="120"/>
    <n v="480"/>
    <s v="East"/>
    <s v="12/16/2024"/>
  </r>
  <r>
    <s v="ORD1092"/>
    <x v="36"/>
    <s v="Isabella"/>
    <s v="Anderson"/>
    <s v="isabellaanderson@gmail.com"/>
    <n v="8563196714"/>
    <s v="Shoes"/>
    <s v="Electronics"/>
    <n v="4"/>
    <n v="161"/>
    <n v="644"/>
    <s v="South"/>
    <d v="2024-04-12T00:00:00"/>
  </r>
  <r>
    <s v="ORD1093"/>
    <x v="34"/>
    <s v="Chris"/>
    <s v="Smith"/>
    <s v="chrissmith@gmail.com"/>
    <n v="9040916238"/>
    <s v="Sofa"/>
    <s v="Electronics"/>
    <n v="5"/>
    <n v="33"/>
    <e v="#VALUE!"/>
    <s v="East"/>
    <s v="1/18/2024"/>
  </r>
  <r>
    <s v="ORD1094"/>
    <x v="50"/>
    <s v="Alex"/>
    <s v="Taylor"/>
    <s v="alextaylor@gmail.com"/>
    <n v="6440610570"/>
    <s v="Laptop"/>
    <s v="Electronics"/>
    <n v="10"/>
    <n v="155"/>
    <n v="1550"/>
    <s v="West"/>
    <s v="8/16/2024"/>
  </r>
  <r>
    <s v="ORD1095"/>
    <x v="61"/>
    <s v="Olivia"/>
    <s v="Brown"/>
    <s v="oliviabrown@gmail.com"/>
    <n v="6220661337"/>
    <s v="Shoes"/>
    <s v="Clothing"/>
    <n v="2"/>
    <n v="430"/>
    <n v="860"/>
    <s v="West"/>
    <s v="2/13/2024"/>
  </r>
  <r>
    <s v="ORD1096"/>
    <x v="40"/>
    <s v="Jane"/>
    <s v="Thomas"/>
    <s v="janethomas@gmail.com"/>
    <n v="8703448716"/>
    <s v="Laptop"/>
    <s v="Electronics"/>
    <n v="3"/>
    <n v="86"/>
    <n v="258"/>
    <s v="North"/>
    <d v="2024-10-10T00:00:00"/>
  </r>
  <r>
    <s v="ORD1097"/>
    <x v="54"/>
    <s v="Emma"/>
    <s v="Johnson"/>
    <s v="emmajohnson@gmail.com"/>
    <n v="8396905421"/>
    <s v="Backpack"/>
    <s v="Home Decor"/>
    <n v="10"/>
    <n v="414"/>
    <n v="4140"/>
    <s v="West"/>
    <d v="2024-10-08T00:00:00"/>
  </r>
  <r>
    <s v="ORD1098"/>
    <x v="41"/>
    <s v="Sophia"/>
    <s v="Taylor"/>
    <s v="sophiataylor@gmail.com"/>
    <n v="7277121963"/>
    <s v="Coffee Maker"/>
    <s v="Clothing"/>
    <n v="5"/>
    <n v="301"/>
    <e v="#VALUE!"/>
    <s v="North"/>
    <d v="2024-10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78976-6296-426B-8A3D-9A90BE97EE2B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P47:Q110" firstHeaderRow="1" firstDataRow="1" firstDataCol="1"/>
  <pivotFields count="13">
    <pivotField showAll="0"/>
    <pivotField axis="axisRow" dataField="1" multipleItemSelectionAllowed="1" showAll="0" sortType="descending">
      <items count="63">
        <item x="14"/>
        <item x="28"/>
        <item x="53"/>
        <item x="3"/>
        <item x="50"/>
        <item x="8"/>
        <item x="42"/>
        <item x="12"/>
        <item x="33"/>
        <item x="20"/>
        <item x="34"/>
        <item x="48"/>
        <item x="58"/>
        <item x="17"/>
        <item x="2"/>
        <item x="5"/>
        <item x="15"/>
        <item x="35"/>
        <item x="39"/>
        <item x="26"/>
        <item x="43"/>
        <item x="54"/>
        <item x="31"/>
        <item x="38"/>
        <item x="52"/>
        <item x="36"/>
        <item x="9"/>
        <item x="6"/>
        <item x="1"/>
        <item x="55"/>
        <item x="11"/>
        <item x="60"/>
        <item x="7"/>
        <item x="51"/>
        <item x="0"/>
        <item x="19"/>
        <item x="40"/>
        <item x="21"/>
        <item x="45"/>
        <item x="22"/>
        <item x="25"/>
        <item x="56"/>
        <item x="29"/>
        <item x="32"/>
        <item x="24"/>
        <item x="4"/>
        <item x="27"/>
        <item x="30"/>
        <item x="49"/>
        <item x="61"/>
        <item x="13"/>
        <item x="16"/>
        <item x="57"/>
        <item x="37"/>
        <item x="10"/>
        <item x="59"/>
        <item x="23"/>
        <item x="47"/>
        <item x="44"/>
        <item x="18"/>
        <item x="4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3">
    <i>
      <x v="50"/>
    </i>
    <i>
      <x v="43"/>
    </i>
    <i>
      <x v="36"/>
    </i>
    <i>
      <x v="5"/>
    </i>
    <i>
      <x v="47"/>
    </i>
    <i>
      <x v="16"/>
    </i>
    <i>
      <x v="32"/>
    </i>
    <i>
      <x v="60"/>
    </i>
    <i>
      <x v="11"/>
    </i>
    <i>
      <x v="39"/>
    </i>
    <i>
      <x v="15"/>
    </i>
    <i>
      <x v="4"/>
    </i>
    <i>
      <x v="10"/>
    </i>
    <i>
      <x v="17"/>
    </i>
    <i>
      <x v="53"/>
    </i>
    <i>
      <x v="21"/>
    </i>
    <i>
      <x v="9"/>
    </i>
    <i>
      <x v="22"/>
    </i>
    <i>
      <x v="40"/>
    </i>
    <i>
      <x v="59"/>
    </i>
    <i>
      <x v="45"/>
    </i>
    <i>
      <x v="25"/>
    </i>
    <i>
      <x v="13"/>
    </i>
    <i>
      <x v="26"/>
    </i>
    <i>
      <x v="58"/>
    </i>
    <i>
      <x v="3"/>
    </i>
    <i>
      <x v="35"/>
    </i>
    <i>
      <x v="23"/>
    </i>
    <i>
      <x/>
    </i>
    <i>
      <x v="28"/>
    </i>
    <i>
      <x v="52"/>
    </i>
    <i>
      <x v="48"/>
    </i>
    <i>
      <x v="61"/>
    </i>
    <i>
      <x v="56"/>
    </i>
    <i>
      <x v="31"/>
    </i>
    <i>
      <x v="46"/>
    </i>
    <i>
      <x v="2"/>
    </i>
    <i>
      <x v="24"/>
    </i>
    <i>
      <x v="33"/>
    </i>
    <i>
      <x v="54"/>
    </i>
    <i>
      <x v="34"/>
    </i>
    <i>
      <x v="8"/>
    </i>
    <i>
      <x v="1"/>
    </i>
    <i>
      <x v="12"/>
    </i>
    <i>
      <x v="18"/>
    </i>
    <i>
      <x v="7"/>
    </i>
    <i>
      <x v="37"/>
    </i>
    <i>
      <x v="49"/>
    </i>
    <i>
      <x v="38"/>
    </i>
    <i>
      <x v="51"/>
    </i>
    <i>
      <x v="19"/>
    </i>
    <i>
      <x v="14"/>
    </i>
    <i>
      <x v="20"/>
    </i>
    <i>
      <x v="55"/>
    </i>
    <i>
      <x v="41"/>
    </i>
    <i>
      <x v="57"/>
    </i>
    <i>
      <x v="42"/>
    </i>
    <i>
      <x v="27"/>
    </i>
    <i>
      <x v="6"/>
    </i>
    <i>
      <x v="29"/>
    </i>
    <i>
      <x v="44"/>
    </i>
    <i>
      <x v="30"/>
    </i>
    <i t="grand">
      <x/>
    </i>
  </rowItems>
  <colItems count="1">
    <i/>
  </colItems>
  <dataFields count="1">
    <dataField name="Count of Customer Nam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F34-18F2-4E49-9551-9E551F8E2882}">
  <dimension ref="A1:CA110"/>
  <sheetViews>
    <sheetView tabSelected="1" topLeftCell="E11" workbookViewId="0">
      <selection activeCell="O35" sqref="O35"/>
    </sheetView>
  </sheetViews>
  <sheetFormatPr defaultRowHeight="14.25" x14ac:dyDescent="0.45"/>
  <cols>
    <col min="1" max="1" width="8.796875" style="1" bestFit="1" customWidth="1"/>
    <col min="2" max="2" width="15.33203125" style="1" bestFit="1" customWidth="1"/>
    <col min="3" max="4" width="15.33203125" style="1" customWidth="1"/>
    <col min="5" max="5" width="23.46484375" style="1" bestFit="1" customWidth="1"/>
    <col min="6" max="6" width="12.796875" style="1" bestFit="1" customWidth="1"/>
    <col min="7" max="7" width="12.19921875" style="1" bestFit="1" customWidth="1"/>
    <col min="8" max="8" width="10.86328125" style="1" bestFit="1" customWidth="1"/>
    <col min="9" max="9" width="7.53125" style="1" bestFit="1" customWidth="1"/>
    <col min="10" max="10" width="11.265625" style="1" bestFit="1" customWidth="1"/>
    <col min="11" max="11" width="12.06640625" style="1" bestFit="1" customWidth="1"/>
    <col min="12" max="12" width="7.9296875" style="1" customWidth="1"/>
    <col min="13" max="13" width="9.9296875" style="1" bestFit="1" customWidth="1"/>
    <col min="14" max="14" width="17.9296875" style="30" customWidth="1"/>
    <col min="15" max="15" width="9.06640625" style="1"/>
    <col min="16" max="16" width="15.9296875" style="1" bestFit="1" customWidth="1"/>
    <col min="17" max="17" width="20.9296875" style="1" bestFit="1" customWidth="1"/>
    <col min="18" max="18" width="8.86328125" style="1" bestFit="1" customWidth="1"/>
    <col min="19" max="19" width="9.1328125" style="1" bestFit="1" customWidth="1"/>
    <col min="20" max="20" width="9.59765625" style="1" bestFit="1" customWidth="1"/>
    <col min="21" max="21" width="9.3984375" style="1" bestFit="1" customWidth="1"/>
    <col min="22" max="22" width="10" style="1" bestFit="1" customWidth="1"/>
    <col min="23" max="23" width="12.9296875" style="1" bestFit="1" customWidth="1"/>
    <col min="24" max="24" width="10.33203125" style="1" bestFit="1" customWidth="1"/>
    <col min="25" max="25" width="11.796875" style="1" bestFit="1" customWidth="1"/>
    <col min="26" max="26" width="10.33203125" style="1" bestFit="1" customWidth="1"/>
    <col min="27" max="27" width="9.9296875" style="1" bestFit="1" customWidth="1"/>
    <col min="28" max="28" width="10.1328125" style="1" bestFit="1" customWidth="1"/>
    <col min="29" max="29" width="11.46484375" style="1" bestFit="1" customWidth="1"/>
    <col min="30" max="30" width="11.265625" style="1" bestFit="1" customWidth="1"/>
    <col min="31" max="31" width="10.53125" style="1" bestFit="1" customWidth="1"/>
    <col min="32" max="32" width="12.796875" style="1" bestFit="1" customWidth="1"/>
    <col min="33" max="33" width="10.796875" style="1" bestFit="1" customWidth="1"/>
    <col min="34" max="34" width="10.86328125" style="1" bestFit="1" customWidth="1"/>
    <col min="35" max="35" width="11.6640625" style="1" bestFit="1" customWidth="1"/>
    <col min="36" max="36" width="13.73046875" style="1" bestFit="1" customWidth="1"/>
    <col min="37" max="37" width="10.3984375" style="1" bestFit="1" customWidth="1"/>
    <col min="38" max="38" width="12.59765625" style="1" bestFit="1" customWidth="1"/>
    <col min="39" max="39" width="10.6640625" style="1" bestFit="1" customWidth="1"/>
    <col min="40" max="40" width="11.1328125" style="1" bestFit="1" customWidth="1"/>
    <col min="41" max="41" width="10.9296875" style="1" bestFit="1" customWidth="1"/>
    <col min="42" max="42" width="15.06640625" style="1" bestFit="1" customWidth="1"/>
    <col min="43" max="43" width="12.46484375" style="1" bestFit="1" customWidth="1"/>
    <col min="44" max="44" width="11.73046875" style="1" bestFit="1" customWidth="1"/>
    <col min="45" max="45" width="12.46484375" style="1" bestFit="1" customWidth="1"/>
    <col min="46" max="46" width="12.06640625" style="1" bestFit="1" customWidth="1"/>
    <col min="47" max="47" width="12.9296875" style="1" bestFit="1" customWidth="1"/>
    <col min="48" max="48" width="12.265625" style="1" bestFit="1" customWidth="1"/>
    <col min="49" max="49" width="9" style="1" bestFit="1" customWidth="1"/>
    <col min="50" max="50" width="9.73046875" style="1" bestFit="1" customWidth="1"/>
    <col min="51" max="51" width="9.33203125" style="1" bestFit="1" customWidth="1"/>
    <col min="52" max="52" width="9.53125" style="1" bestFit="1" customWidth="1"/>
    <col min="53" max="53" width="10.86328125" style="1" bestFit="1" customWidth="1"/>
    <col min="54" max="54" width="10.1328125" style="1" bestFit="1" customWidth="1"/>
    <col min="55" max="55" width="12.33203125" style="1" bestFit="1" customWidth="1"/>
    <col min="56" max="56" width="9.06640625" style="1"/>
    <col min="57" max="57" width="11.265625" style="1" bestFit="1" customWidth="1"/>
    <col min="58" max="58" width="9.796875" style="1" bestFit="1" customWidth="1"/>
    <col min="59" max="59" width="9.3984375" style="1" bestFit="1" customWidth="1"/>
    <col min="60" max="60" width="9.59765625" style="1" bestFit="1" customWidth="1"/>
    <col min="61" max="61" width="11.6640625" style="1" bestFit="1" customWidth="1"/>
    <col min="62" max="62" width="13.9296875" style="1" bestFit="1" customWidth="1"/>
    <col min="63" max="63" width="12" style="1" bestFit="1" customWidth="1"/>
    <col min="64" max="64" width="13.59765625" style="1" bestFit="1" customWidth="1"/>
    <col min="65" max="65" width="12.86328125" style="1" bestFit="1" customWidth="1"/>
    <col min="66" max="66" width="10.6640625" style="1" bestFit="1" customWidth="1"/>
    <col min="67" max="67" width="9.9296875" style="1" bestFit="1" customWidth="1"/>
    <col min="68" max="68" width="12.1328125" style="1" bestFit="1" customWidth="1"/>
    <col min="69" max="69" width="10.19921875" style="1" bestFit="1" customWidth="1"/>
    <col min="70" max="70" width="10.6640625" style="1" bestFit="1" customWidth="1"/>
    <col min="71" max="71" width="10.265625" style="1" bestFit="1" customWidth="1"/>
    <col min="72" max="72" width="10.46484375" style="1" bestFit="1" customWidth="1"/>
    <col min="73" max="73" width="10.86328125" style="1" bestFit="1" customWidth="1"/>
    <col min="74" max="74" width="11.1328125" style="1" bestFit="1" customWidth="1"/>
    <col min="75" max="75" width="11.59765625" style="1" bestFit="1" customWidth="1"/>
    <col min="76" max="76" width="11.19921875" style="1" bestFit="1" customWidth="1"/>
    <col min="77" max="77" width="11.3984375" style="1" bestFit="1" customWidth="1"/>
    <col min="78" max="78" width="12.796875" style="1" bestFit="1" customWidth="1"/>
    <col min="79" max="79" width="9.86328125" style="1" bestFit="1" customWidth="1"/>
    <col min="80" max="16384" width="9.06640625" style="1"/>
  </cols>
  <sheetData>
    <row r="1" spans="1:28" x14ac:dyDescent="0.35">
      <c r="A1" s="6" t="s">
        <v>0</v>
      </c>
      <c r="B1" s="6" t="s">
        <v>1</v>
      </c>
      <c r="C1" s="6" t="s">
        <v>323</v>
      </c>
      <c r="D1" s="6" t="s">
        <v>324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28" t="s">
        <v>10</v>
      </c>
      <c r="N1" s="29" t="s">
        <v>359</v>
      </c>
    </row>
    <row r="2" spans="1:28" ht="15.75" x14ac:dyDescent="0.35">
      <c r="A2" s="2" t="s">
        <v>11</v>
      </c>
      <c r="B2" s="2" t="s">
        <v>12</v>
      </c>
      <c r="C2" s="2" t="s">
        <v>325</v>
      </c>
      <c r="D2" s="2" t="s">
        <v>326</v>
      </c>
      <c r="E2" s="2" t="s">
        <v>13</v>
      </c>
      <c r="F2" s="3">
        <v>9184935163</v>
      </c>
      <c r="G2" s="2" t="s">
        <v>14</v>
      </c>
      <c r="H2" s="2" t="s">
        <v>15</v>
      </c>
      <c r="I2" s="3">
        <v>4</v>
      </c>
      <c r="J2" s="3">
        <v>81</v>
      </c>
      <c r="K2" s="3">
        <f>I2*J2</f>
        <v>324</v>
      </c>
      <c r="L2" s="2" t="s">
        <v>16</v>
      </c>
      <c r="M2" s="4">
        <v>45630</v>
      </c>
      <c r="N2" s="30" t="str">
        <f>IF(COUNTIF($B$2:$B$100,B2)&gt;1,"Multiple Orders","Single Order")</f>
        <v>Single Order</v>
      </c>
      <c r="O2" s="7" t="s">
        <v>305</v>
      </c>
      <c r="P2" s="8"/>
    </row>
    <row r="3" spans="1:28" ht="15.75" x14ac:dyDescent="0.35">
      <c r="A3" s="2" t="s">
        <v>17</v>
      </c>
      <c r="B3" s="2" t="s">
        <v>18</v>
      </c>
      <c r="C3" s="2" t="s">
        <v>327</v>
      </c>
      <c r="D3" s="2" t="s">
        <v>336</v>
      </c>
      <c r="E3" s="2" t="s">
        <v>19</v>
      </c>
      <c r="F3" s="3">
        <v>6136505587</v>
      </c>
      <c r="G3" s="2" t="s">
        <v>20</v>
      </c>
      <c r="H3" s="2" t="s">
        <v>15</v>
      </c>
      <c r="I3" s="3">
        <v>2</v>
      </c>
      <c r="J3" s="3">
        <v>121</v>
      </c>
      <c r="K3" s="3">
        <v>242</v>
      </c>
      <c r="L3" s="2" t="s">
        <v>16</v>
      </c>
      <c r="M3" s="3" t="s">
        <v>21</v>
      </c>
      <c r="N3" s="30" t="str">
        <f t="shared" ref="N3:N66" si="0">IF(COUNTIF($B$2:$B$100,B3)&gt;1,"Multiple Orders","Single Order")</f>
        <v>Single Order</v>
      </c>
      <c r="O3" s="8" t="s">
        <v>306</v>
      </c>
      <c r="P3" s="8"/>
    </row>
    <row r="4" spans="1:28" ht="16.149999999999999" thickBot="1" x14ac:dyDescent="0.4">
      <c r="A4" s="2" t="s">
        <v>22</v>
      </c>
      <c r="B4" s="2" t="s">
        <v>23</v>
      </c>
      <c r="C4" s="2" t="s">
        <v>328</v>
      </c>
      <c r="D4" s="2" t="s">
        <v>337</v>
      </c>
      <c r="E4" s="2" t="s">
        <v>24</v>
      </c>
      <c r="F4" s="3">
        <v>9075280817</v>
      </c>
      <c r="G4" s="2" t="s">
        <v>25</v>
      </c>
      <c r="H4" s="2" t="s">
        <v>26</v>
      </c>
      <c r="I4" s="3">
        <v>4</v>
      </c>
      <c r="J4" s="3">
        <v>239</v>
      </c>
      <c r="K4" s="3">
        <v>956</v>
      </c>
      <c r="L4" s="2" t="s">
        <v>16</v>
      </c>
      <c r="M4" s="4">
        <v>45574</v>
      </c>
      <c r="N4" s="30" t="str">
        <f t="shared" si="0"/>
        <v>Single Order</v>
      </c>
      <c r="P4" s="8"/>
    </row>
    <row r="5" spans="1:28" ht="16.149999999999999" thickBot="1" x14ac:dyDescent="0.4">
      <c r="A5" s="2" t="s">
        <v>27</v>
      </c>
      <c r="B5" s="2" t="s">
        <v>28</v>
      </c>
      <c r="C5" s="2" t="s">
        <v>329</v>
      </c>
      <c r="D5" s="2" t="s">
        <v>336</v>
      </c>
      <c r="E5" s="2" t="s">
        <v>29</v>
      </c>
      <c r="F5" s="3">
        <v>7461364854</v>
      </c>
      <c r="G5" s="2" t="s">
        <v>304</v>
      </c>
      <c r="H5" s="2" t="s">
        <v>15</v>
      </c>
      <c r="I5" s="3">
        <v>4</v>
      </c>
      <c r="J5" s="3">
        <v>500</v>
      </c>
      <c r="K5" s="3">
        <v>2000</v>
      </c>
      <c r="L5" s="2" t="s">
        <v>16</v>
      </c>
      <c r="M5" s="4">
        <v>45447</v>
      </c>
      <c r="N5" s="30" t="str">
        <f t="shared" si="0"/>
        <v>Multiple Orders</v>
      </c>
      <c r="O5" s="7" t="s">
        <v>320</v>
      </c>
      <c r="P5" s="10" t="s">
        <v>321</v>
      </c>
      <c r="Q5" s="11"/>
      <c r="R5" s="11"/>
      <c r="S5" s="11"/>
      <c r="T5" s="11"/>
      <c r="U5" s="11"/>
      <c r="V5" s="12"/>
    </row>
    <row r="6" spans="1:28" ht="15.75" x14ac:dyDescent="0.35">
      <c r="A6" s="2" t="s">
        <v>30</v>
      </c>
      <c r="B6" s="2" t="s">
        <v>31</v>
      </c>
      <c r="C6" s="2" t="s">
        <v>330</v>
      </c>
      <c r="D6" s="2" t="s">
        <v>338</v>
      </c>
      <c r="E6" s="2" t="s">
        <v>32</v>
      </c>
      <c r="F6" s="3">
        <v>7541804686</v>
      </c>
      <c r="G6" s="2" t="s">
        <v>33</v>
      </c>
      <c r="H6" s="2" t="s">
        <v>34</v>
      </c>
      <c r="I6" s="2">
        <v>5</v>
      </c>
      <c r="J6" s="3">
        <v>423</v>
      </c>
      <c r="K6" s="5" t="e">
        <v>#VALUE!</v>
      </c>
      <c r="L6" s="2" t="s">
        <v>35</v>
      </c>
      <c r="M6" s="3" t="s">
        <v>36</v>
      </c>
      <c r="N6" s="30" t="str">
        <f t="shared" si="0"/>
        <v>Multiple Orders</v>
      </c>
      <c r="O6" s="8"/>
      <c r="P6" s="8"/>
    </row>
    <row r="7" spans="1:28" ht="15.75" x14ac:dyDescent="0.35">
      <c r="A7" s="2" t="s">
        <v>37</v>
      </c>
      <c r="B7" s="2" t="s">
        <v>38</v>
      </c>
      <c r="C7" s="2" t="s">
        <v>328</v>
      </c>
      <c r="D7" s="2" t="s">
        <v>338</v>
      </c>
      <c r="E7" s="2" t="s">
        <v>39</v>
      </c>
      <c r="F7" s="3">
        <v>9961228449</v>
      </c>
      <c r="G7" s="2" t="s">
        <v>40</v>
      </c>
      <c r="H7" s="2" t="s">
        <v>15</v>
      </c>
      <c r="I7" s="3">
        <v>9</v>
      </c>
      <c r="J7" s="3">
        <v>160</v>
      </c>
      <c r="K7" s="3">
        <v>1440</v>
      </c>
      <c r="L7" s="2" t="s">
        <v>41</v>
      </c>
      <c r="M7" s="3" t="s">
        <v>42</v>
      </c>
      <c r="N7" s="30" t="str">
        <f t="shared" si="0"/>
        <v>Multiple Orders</v>
      </c>
      <c r="O7" s="7" t="s">
        <v>307</v>
      </c>
      <c r="P7" s="8"/>
    </row>
    <row r="8" spans="1:28" ht="15.75" x14ac:dyDescent="0.35">
      <c r="A8" s="2" t="s">
        <v>43</v>
      </c>
      <c r="B8" s="2" t="s">
        <v>44</v>
      </c>
      <c r="C8" s="2" t="s">
        <v>327</v>
      </c>
      <c r="D8" s="2" t="s">
        <v>337</v>
      </c>
      <c r="E8" s="2" t="s">
        <v>45</v>
      </c>
      <c r="F8" s="3">
        <v>9026113008</v>
      </c>
      <c r="G8" s="2" t="s">
        <v>46</v>
      </c>
      <c r="H8" s="2" t="s">
        <v>15</v>
      </c>
      <c r="I8" s="3">
        <v>1</v>
      </c>
      <c r="J8" s="3">
        <v>348</v>
      </c>
      <c r="K8" s="3">
        <v>348</v>
      </c>
      <c r="L8" s="2" t="s">
        <v>41</v>
      </c>
      <c r="M8" s="3" t="s">
        <v>47</v>
      </c>
      <c r="N8" s="30" t="str">
        <f t="shared" si="0"/>
        <v>Single Order</v>
      </c>
      <c r="O8" s="8" t="s">
        <v>308</v>
      </c>
      <c r="P8" s="8"/>
    </row>
    <row r="9" spans="1:28" ht="15.75" x14ac:dyDescent="0.35">
      <c r="A9" s="2" t="s">
        <v>48</v>
      </c>
      <c r="B9" s="2" t="s">
        <v>49</v>
      </c>
      <c r="C9" s="2" t="s">
        <v>325</v>
      </c>
      <c r="D9" s="2" t="s">
        <v>337</v>
      </c>
      <c r="E9" s="2" t="s">
        <v>50</v>
      </c>
      <c r="F9" s="3">
        <v>9721519026</v>
      </c>
      <c r="G9" s="2" t="s">
        <v>46</v>
      </c>
      <c r="H9" s="2" t="s">
        <v>15</v>
      </c>
      <c r="I9" s="3">
        <v>7</v>
      </c>
      <c r="J9" s="3">
        <v>152</v>
      </c>
      <c r="K9" s="3">
        <v>1064</v>
      </c>
      <c r="L9" s="2" t="s">
        <v>41</v>
      </c>
      <c r="M9" s="3" t="s">
        <v>51</v>
      </c>
      <c r="N9" s="30" t="str">
        <f t="shared" si="0"/>
        <v>Multiple Orders</v>
      </c>
      <c r="P9" s="8"/>
    </row>
    <row r="10" spans="1:28" ht="15.75" x14ac:dyDescent="0.35">
      <c r="A10" s="2" t="s">
        <v>52</v>
      </c>
      <c r="B10" s="2" t="s">
        <v>53</v>
      </c>
      <c r="C10" s="2" t="s">
        <v>329</v>
      </c>
      <c r="D10" s="2" t="s">
        <v>339</v>
      </c>
      <c r="E10" s="2" t="s">
        <v>54</v>
      </c>
      <c r="F10" s="3">
        <v>7525876051</v>
      </c>
      <c r="G10" s="2" t="s">
        <v>55</v>
      </c>
      <c r="H10" s="2" t="s">
        <v>34</v>
      </c>
      <c r="I10" s="2">
        <v>5</v>
      </c>
      <c r="J10" s="3">
        <v>369</v>
      </c>
      <c r="K10" s="5" t="e">
        <v>#VALUE!</v>
      </c>
      <c r="L10" s="2" t="s">
        <v>16</v>
      </c>
      <c r="M10" s="3" t="s">
        <v>56</v>
      </c>
      <c r="N10" s="30" t="str">
        <f t="shared" si="0"/>
        <v>Multiple Orders</v>
      </c>
      <c r="O10" s="7" t="s">
        <v>320</v>
      </c>
      <c r="P10" s="13" t="s">
        <v>345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8" ht="15.75" x14ac:dyDescent="0.35">
      <c r="A11" s="2" t="s">
        <v>57</v>
      </c>
      <c r="B11" s="2" t="s">
        <v>58</v>
      </c>
      <c r="C11" s="2" t="s">
        <v>327</v>
      </c>
      <c r="D11" s="2" t="s">
        <v>340</v>
      </c>
      <c r="E11" s="2" t="s">
        <v>59</v>
      </c>
      <c r="F11" s="3">
        <v>8294113287</v>
      </c>
      <c r="G11" s="2" t="s">
        <v>55</v>
      </c>
      <c r="H11" s="2" t="s">
        <v>15</v>
      </c>
      <c r="I11" s="3">
        <v>8</v>
      </c>
      <c r="J11" s="3">
        <v>204</v>
      </c>
      <c r="K11" s="3">
        <v>1632</v>
      </c>
      <c r="L11" s="2" t="s">
        <v>60</v>
      </c>
      <c r="M11" s="3" t="s">
        <v>61</v>
      </c>
      <c r="N11" s="30" t="str">
        <f t="shared" si="0"/>
        <v>Multiple Orders</v>
      </c>
      <c r="O11" s="8"/>
      <c r="P11" s="8"/>
    </row>
    <row r="12" spans="1:28" ht="15.75" x14ac:dyDescent="0.35">
      <c r="A12" s="2" t="s">
        <v>62</v>
      </c>
      <c r="B12" s="2" t="s">
        <v>63</v>
      </c>
      <c r="C12" s="2" t="s">
        <v>331</v>
      </c>
      <c r="D12" s="2" t="s">
        <v>326</v>
      </c>
      <c r="E12" s="2" t="s">
        <v>64</v>
      </c>
      <c r="F12" s="3">
        <v>6983753977</v>
      </c>
      <c r="G12" s="2" t="s">
        <v>20</v>
      </c>
      <c r="H12" s="2" t="s">
        <v>15</v>
      </c>
      <c r="I12" s="3">
        <v>6</v>
      </c>
      <c r="J12" s="3">
        <v>215</v>
      </c>
      <c r="K12" s="3">
        <v>1290</v>
      </c>
      <c r="L12" s="2" t="s">
        <v>60</v>
      </c>
      <c r="M12" s="4">
        <v>45415</v>
      </c>
      <c r="N12" s="30" t="str">
        <f t="shared" si="0"/>
        <v>Single Order</v>
      </c>
      <c r="O12" s="7" t="s">
        <v>309</v>
      </c>
      <c r="P12" s="8"/>
    </row>
    <row r="13" spans="1:28" ht="15.75" x14ac:dyDescent="0.35">
      <c r="A13" s="2" t="s">
        <v>65</v>
      </c>
      <c r="B13" s="2" t="s">
        <v>66</v>
      </c>
      <c r="C13" s="2" t="s">
        <v>327</v>
      </c>
      <c r="D13" s="2" t="s">
        <v>339</v>
      </c>
      <c r="E13" s="2" t="s">
        <v>67</v>
      </c>
      <c r="F13" s="3">
        <v>6913224047</v>
      </c>
      <c r="G13" s="2" t="s">
        <v>68</v>
      </c>
      <c r="H13" s="2" t="s">
        <v>15</v>
      </c>
      <c r="I13" s="3">
        <v>7</v>
      </c>
      <c r="J13" s="3">
        <v>462</v>
      </c>
      <c r="K13" s="3">
        <v>3234</v>
      </c>
      <c r="L13" s="2" t="s">
        <v>60</v>
      </c>
      <c r="M13" s="3" t="s">
        <v>69</v>
      </c>
      <c r="N13" s="30" t="str">
        <f t="shared" si="0"/>
        <v>Single Order</v>
      </c>
      <c r="O13" s="8" t="s">
        <v>310</v>
      </c>
      <c r="P13" s="8"/>
    </row>
    <row r="14" spans="1:28" ht="15.75" x14ac:dyDescent="0.35">
      <c r="A14" s="2" t="s">
        <v>70</v>
      </c>
      <c r="B14" s="2" t="s">
        <v>71</v>
      </c>
      <c r="C14" s="2" t="s">
        <v>332</v>
      </c>
      <c r="D14" s="2" t="s">
        <v>340</v>
      </c>
      <c r="E14" s="2" t="s">
        <v>72</v>
      </c>
      <c r="F14" s="3">
        <v>7059257080</v>
      </c>
      <c r="G14" s="2" t="s">
        <v>25</v>
      </c>
      <c r="H14" s="2" t="s">
        <v>34</v>
      </c>
      <c r="I14" s="2">
        <v>5</v>
      </c>
      <c r="J14" s="3">
        <v>392</v>
      </c>
      <c r="K14" s="5" t="e">
        <v>#VALUE!</v>
      </c>
      <c r="L14" s="2" t="s">
        <v>35</v>
      </c>
      <c r="M14" s="3" t="s">
        <v>73</v>
      </c>
      <c r="N14" s="30" t="str">
        <f t="shared" si="0"/>
        <v>Single Order</v>
      </c>
      <c r="P14" s="8"/>
    </row>
    <row r="15" spans="1:28" ht="15.75" x14ac:dyDescent="0.35">
      <c r="A15" s="2" t="s">
        <v>74</v>
      </c>
      <c r="B15" s="2" t="s">
        <v>75</v>
      </c>
      <c r="C15" s="2" t="s">
        <v>331</v>
      </c>
      <c r="D15" s="2" t="s">
        <v>337</v>
      </c>
      <c r="E15" s="2" t="s">
        <v>76</v>
      </c>
      <c r="F15" s="3">
        <v>6594130308</v>
      </c>
      <c r="G15" s="2" t="s">
        <v>25</v>
      </c>
      <c r="H15" s="2" t="s">
        <v>26</v>
      </c>
      <c r="I15" s="3">
        <v>2</v>
      </c>
      <c r="J15" s="3">
        <v>396</v>
      </c>
      <c r="K15" s="3">
        <v>792</v>
      </c>
      <c r="L15" s="2" t="s">
        <v>16</v>
      </c>
      <c r="M15" s="3" t="s">
        <v>77</v>
      </c>
      <c r="N15" s="30" t="str">
        <f t="shared" si="0"/>
        <v>Multiple Orders</v>
      </c>
      <c r="O15" s="7" t="s">
        <v>320</v>
      </c>
      <c r="P15" s="13" t="s">
        <v>322</v>
      </c>
      <c r="Q15" s="14"/>
      <c r="R15" s="14"/>
      <c r="S15" s="14"/>
      <c r="T15" s="14"/>
      <c r="U15" s="14"/>
      <c r="V15" s="14"/>
      <c r="W15" s="23" t="s">
        <v>356</v>
      </c>
      <c r="X15" s="24"/>
      <c r="Y15" s="24"/>
      <c r="Z15" s="24"/>
      <c r="AA15" s="24"/>
      <c r="AB15" s="25"/>
    </row>
    <row r="16" spans="1:28" ht="15.75" x14ac:dyDescent="0.35">
      <c r="A16" s="2" t="s">
        <v>78</v>
      </c>
      <c r="B16" s="2" t="s">
        <v>79</v>
      </c>
      <c r="C16" s="2" t="s">
        <v>329</v>
      </c>
      <c r="D16" s="2" t="s">
        <v>340</v>
      </c>
      <c r="E16" s="2" t="s">
        <v>80</v>
      </c>
      <c r="F16" s="3">
        <v>9401954956</v>
      </c>
      <c r="G16" s="2" t="s">
        <v>40</v>
      </c>
      <c r="H16" s="2" t="s">
        <v>34</v>
      </c>
      <c r="I16" s="3">
        <v>2</v>
      </c>
      <c r="J16" s="3">
        <v>207</v>
      </c>
      <c r="K16" s="3">
        <v>414</v>
      </c>
      <c r="L16" s="2" t="s">
        <v>35</v>
      </c>
      <c r="M16" s="3" t="s">
        <v>81</v>
      </c>
      <c r="N16" s="30" t="str">
        <f t="shared" si="0"/>
        <v>Multiple Orders</v>
      </c>
      <c r="O16" s="8"/>
      <c r="P16" s="8"/>
    </row>
    <row r="17" spans="1:27" ht="15.75" x14ac:dyDescent="0.35">
      <c r="A17" s="2" t="s">
        <v>82</v>
      </c>
      <c r="B17" s="2" t="s">
        <v>83</v>
      </c>
      <c r="C17" s="2" t="s">
        <v>328</v>
      </c>
      <c r="D17" s="2" t="s">
        <v>341</v>
      </c>
      <c r="E17" s="2" t="s">
        <v>84</v>
      </c>
      <c r="F17" s="3">
        <v>8376087131</v>
      </c>
      <c r="G17" s="2" t="s">
        <v>20</v>
      </c>
      <c r="H17" s="2" t="s">
        <v>15</v>
      </c>
      <c r="I17" s="3">
        <v>2</v>
      </c>
      <c r="J17" s="3">
        <v>359</v>
      </c>
      <c r="K17" s="3">
        <v>718</v>
      </c>
      <c r="L17" s="2" t="s">
        <v>41</v>
      </c>
      <c r="M17" s="3" t="s">
        <v>85</v>
      </c>
      <c r="N17" s="30" t="str">
        <f t="shared" si="0"/>
        <v>Multiple Orders</v>
      </c>
      <c r="O17" s="7" t="s">
        <v>311</v>
      </c>
      <c r="P17" s="8"/>
    </row>
    <row r="18" spans="1:27" ht="15.75" x14ac:dyDescent="0.35">
      <c r="A18" s="2" t="s">
        <v>86</v>
      </c>
      <c r="B18" s="2" t="s">
        <v>87</v>
      </c>
      <c r="C18" s="2" t="s">
        <v>331</v>
      </c>
      <c r="D18" s="2" t="s">
        <v>338</v>
      </c>
      <c r="E18" s="2" t="s">
        <v>88</v>
      </c>
      <c r="F18" s="3">
        <v>7260573448</v>
      </c>
      <c r="G18" s="2" t="s">
        <v>40</v>
      </c>
      <c r="H18" s="2" t="s">
        <v>15</v>
      </c>
      <c r="I18" s="3">
        <v>8</v>
      </c>
      <c r="J18" s="3">
        <v>11</v>
      </c>
      <c r="K18" s="3">
        <v>88</v>
      </c>
      <c r="L18" s="2" t="s">
        <v>41</v>
      </c>
      <c r="M18" s="3" t="s">
        <v>89</v>
      </c>
      <c r="N18" s="30" t="str">
        <f t="shared" si="0"/>
        <v>Single Order</v>
      </c>
      <c r="O18" s="8" t="s">
        <v>312</v>
      </c>
      <c r="P18" s="8"/>
    </row>
    <row r="19" spans="1:27" ht="15.75" x14ac:dyDescent="0.35">
      <c r="A19" s="2" t="s">
        <v>90</v>
      </c>
      <c r="B19" s="2" t="s">
        <v>91</v>
      </c>
      <c r="C19" s="2" t="s">
        <v>328</v>
      </c>
      <c r="D19" s="2" t="s">
        <v>340</v>
      </c>
      <c r="E19" s="2" t="s">
        <v>92</v>
      </c>
      <c r="F19" s="3">
        <v>8180476188</v>
      </c>
      <c r="G19" s="2" t="s">
        <v>46</v>
      </c>
      <c r="H19" s="2" t="s">
        <v>15</v>
      </c>
      <c r="I19" s="2">
        <v>5</v>
      </c>
      <c r="J19" s="3">
        <v>440</v>
      </c>
      <c r="K19" s="5" t="e">
        <v>#VALUE!</v>
      </c>
      <c r="L19" s="2" t="s">
        <v>60</v>
      </c>
      <c r="M19" s="3" t="s">
        <v>93</v>
      </c>
      <c r="N19" s="30" t="str">
        <f t="shared" si="0"/>
        <v>Multiple Orders</v>
      </c>
      <c r="P19" s="8"/>
    </row>
    <row r="20" spans="1:27" ht="15.75" x14ac:dyDescent="0.35">
      <c r="A20" s="2" t="s">
        <v>94</v>
      </c>
      <c r="B20" s="2" t="s">
        <v>53</v>
      </c>
      <c r="C20" s="2" t="s">
        <v>329</v>
      </c>
      <c r="D20" s="2" t="s">
        <v>339</v>
      </c>
      <c r="E20" s="2" t="s">
        <v>54</v>
      </c>
      <c r="F20" s="3">
        <v>9274958945</v>
      </c>
      <c r="G20" s="2" t="s">
        <v>95</v>
      </c>
      <c r="H20" s="2" t="s">
        <v>15</v>
      </c>
      <c r="I20" s="3">
        <v>9</v>
      </c>
      <c r="J20" s="3">
        <v>498</v>
      </c>
      <c r="K20" s="3">
        <v>4482</v>
      </c>
      <c r="L20" s="2" t="s">
        <v>41</v>
      </c>
      <c r="M20" s="4">
        <v>45536</v>
      </c>
      <c r="N20" s="30" t="str">
        <f t="shared" si="0"/>
        <v>Multiple Orders</v>
      </c>
      <c r="O20" s="7" t="s">
        <v>320</v>
      </c>
      <c r="P20" s="16" t="s">
        <v>347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ht="15.75" x14ac:dyDescent="0.35">
      <c r="A21" s="2" t="s">
        <v>96</v>
      </c>
      <c r="B21" s="2" t="s">
        <v>97</v>
      </c>
      <c r="C21" s="2" t="s">
        <v>333</v>
      </c>
      <c r="D21" s="2" t="s">
        <v>326</v>
      </c>
      <c r="E21" s="2" t="s">
        <v>98</v>
      </c>
      <c r="F21" s="3">
        <v>6480468219</v>
      </c>
      <c r="G21" s="2" t="s">
        <v>33</v>
      </c>
      <c r="H21" s="2" t="s">
        <v>26</v>
      </c>
      <c r="I21" s="3">
        <v>4</v>
      </c>
      <c r="J21" s="3">
        <v>39</v>
      </c>
      <c r="K21" s="3">
        <v>156</v>
      </c>
      <c r="L21" s="2" t="s">
        <v>16</v>
      </c>
      <c r="M21" s="3" t="s">
        <v>99</v>
      </c>
      <c r="N21" s="30" t="str">
        <f t="shared" si="0"/>
        <v>Multiple Orders</v>
      </c>
      <c r="O21" s="8"/>
      <c r="P21" s="19" t="s">
        <v>348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ht="15.75" x14ac:dyDescent="0.35">
      <c r="A22" s="2" t="s">
        <v>100</v>
      </c>
      <c r="B22" s="2" t="s">
        <v>101</v>
      </c>
      <c r="C22" s="2" t="s">
        <v>325</v>
      </c>
      <c r="D22" s="2" t="s">
        <v>342</v>
      </c>
      <c r="E22" s="2" t="s">
        <v>102</v>
      </c>
      <c r="F22" s="3">
        <v>9504793184</v>
      </c>
      <c r="G22" s="2" t="s">
        <v>46</v>
      </c>
      <c r="H22" s="2" t="s">
        <v>15</v>
      </c>
      <c r="I22" s="3">
        <v>9</v>
      </c>
      <c r="J22" s="3">
        <v>402</v>
      </c>
      <c r="K22" s="3">
        <v>3618</v>
      </c>
      <c r="L22" s="2" t="s">
        <v>35</v>
      </c>
      <c r="M22" s="4">
        <v>45356</v>
      </c>
      <c r="N22" s="30" t="str">
        <f t="shared" si="0"/>
        <v>Multiple Orders</v>
      </c>
      <c r="P22" s="8"/>
    </row>
    <row r="23" spans="1:27" ht="15.75" x14ac:dyDescent="0.35">
      <c r="A23" s="2" t="s">
        <v>103</v>
      </c>
      <c r="B23" s="2" t="s">
        <v>91</v>
      </c>
      <c r="C23" s="2" t="s">
        <v>328</v>
      </c>
      <c r="D23" s="2" t="s">
        <v>340</v>
      </c>
      <c r="E23" s="2" t="s">
        <v>92</v>
      </c>
      <c r="F23" s="3">
        <v>7138409539</v>
      </c>
      <c r="G23" s="2" t="s">
        <v>25</v>
      </c>
      <c r="H23" s="2" t="s">
        <v>34</v>
      </c>
      <c r="I23" s="3">
        <v>7</v>
      </c>
      <c r="J23" s="3">
        <v>118</v>
      </c>
      <c r="K23" s="3">
        <v>826</v>
      </c>
      <c r="L23" s="2" t="s">
        <v>60</v>
      </c>
      <c r="M23" s="3" t="s">
        <v>85</v>
      </c>
      <c r="N23" s="30" t="str">
        <f t="shared" si="0"/>
        <v>Multiple Orders</v>
      </c>
      <c r="O23" s="7" t="s">
        <v>313</v>
      </c>
      <c r="P23" s="8"/>
    </row>
    <row r="24" spans="1:27" ht="15.75" x14ac:dyDescent="0.35">
      <c r="A24" s="2" t="s">
        <v>104</v>
      </c>
      <c r="B24" s="2" t="s">
        <v>105</v>
      </c>
      <c r="C24" s="2" t="s">
        <v>332</v>
      </c>
      <c r="D24" s="2" t="s">
        <v>336</v>
      </c>
      <c r="E24" s="2" t="s">
        <v>106</v>
      </c>
      <c r="F24" s="3">
        <v>8884873529</v>
      </c>
      <c r="G24" s="2" t="s">
        <v>33</v>
      </c>
      <c r="H24" s="2" t="s">
        <v>26</v>
      </c>
      <c r="I24" s="3">
        <v>9</v>
      </c>
      <c r="J24" s="3">
        <v>241</v>
      </c>
      <c r="K24" s="3">
        <v>2169</v>
      </c>
      <c r="L24" s="2" t="s">
        <v>60</v>
      </c>
      <c r="M24" s="4">
        <v>45330</v>
      </c>
      <c r="N24" s="30" t="str">
        <f t="shared" si="0"/>
        <v>Multiple Orders</v>
      </c>
      <c r="O24" s="8" t="s">
        <v>346</v>
      </c>
      <c r="P24" s="8"/>
    </row>
    <row r="25" spans="1:27" ht="15.75" x14ac:dyDescent="0.35">
      <c r="A25" s="2" t="s">
        <v>107</v>
      </c>
      <c r="B25" s="2" t="s">
        <v>108</v>
      </c>
      <c r="C25" s="2" t="s">
        <v>325</v>
      </c>
      <c r="D25" s="2" t="s">
        <v>339</v>
      </c>
      <c r="E25" s="2" t="s">
        <v>109</v>
      </c>
      <c r="F25" s="3">
        <v>6090341465</v>
      </c>
      <c r="G25" s="2" t="s">
        <v>110</v>
      </c>
      <c r="H25" s="2" t="s">
        <v>34</v>
      </c>
      <c r="I25" s="3">
        <v>4</v>
      </c>
      <c r="J25" s="3">
        <v>311</v>
      </c>
      <c r="K25" s="3">
        <v>1244</v>
      </c>
      <c r="L25" s="2" t="s">
        <v>16</v>
      </c>
      <c r="M25" s="4">
        <v>45383</v>
      </c>
      <c r="N25" s="30" t="str">
        <f t="shared" si="0"/>
        <v>Single Order</v>
      </c>
      <c r="O25" s="9" t="s">
        <v>319</v>
      </c>
    </row>
    <row r="26" spans="1:27" ht="15.75" x14ac:dyDescent="0.35">
      <c r="A26" s="2" t="s">
        <v>111</v>
      </c>
      <c r="B26" s="2" t="s">
        <v>112</v>
      </c>
      <c r="C26" s="2" t="s">
        <v>334</v>
      </c>
      <c r="D26" s="2" t="s">
        <v>337</v>
      </c>
      <c r="E26" s="2" t="s">
        <v>113</v>
      </c>
      <c r="F26" s="3">
        <v>6289482182</v>
      </c>
      <c r="G26" s="2" t="s">
        <v>20</v>
      </c>
      <c r="H26" s="2" t="s">
        <v>15</v>
      </c>
      <c r="I26" s="3">
        <v>6</v>
      </c>
      <c r="J26" s="3">
        <v>46</v>
      </c>
      <c r="K26" s="3">
        <v>276</v>
      </c>
      <c r="L26" s="2" t="s">
        <v>41</v>
      </c>
      <c r="M26" s="4">
        <v>45543</v>
      </c>
      <c r="N26" s="30" t="str">
        <f t="shared" si="0"/>
        <v>Multiple Orders</v>
      </c>
      <c r="O26" s="7" t="s">
        <v>320</v>
      </c>
      <c r="P26" s="22" t="s">
        <v>349</v>
      </c>
      <c r="Q26" s="17"/>
      <c r="R26" s="17"/>
      <c r="S26" s="17"/>
      <c r="T26" s="17"/>
      <c r="U26" s="17"/>
      <c r="V26" s="17"/>
      <c r="W26" s="18"/>
    </row>
    <row r="27" spans="1:27" ht="15.75" x14ac:dyDescent="0.35">
      <c r="A27" s="2" t="s">
        <v>114</v>
      </c>
      <c r="B27" s="2" t="s">
        <v>115</v>
      </c>
      <c r="C27" s="2" t="s">
        <v>333</v>
      </c>
      <c r="D27" s="2" t="s">
        <v>337</v>
      </c>
      <c r="E27" s="2" t="s">
        <v>116</v>
      </c>
      <c r="F27" s="3">
        <v>8315992115</v>
      </c>
      <c r="G27" s="2" t="s">
        <v>95</v>
      </c>
      <c r="H27" s="2" t="s">
        <v>15</v>
      </c>
      <c r="I27" s="3">
        <v>10</v>
      </c>
      <c r="J27" s="3">
        <v>305</v>
      </c>
      <c r="K27" s="3">
        <v>3050</v>
      </c>
      <c r="L27" s="2" t="s">
        <v>35</v>
      </c>
      <c r="M27" s="4">
        <v>45512</v>
      </c>
      <c r="N27" s="30" t="str">
        <f t="shared" si="0"/>
        <v>Single Order</v>
      </c>
      <c r="O27" s="8"/>
      <c r="P27" s="19" t="s">
        <v>350</v>
      </c>
      <c r="Q27" s="20"/>
      <c r="R27" s="20"/>
      <c r="S27" s="20"/>
      <c r="T27" s="20"/>
      <c r="U27" s="20"/>
      <c r="V27" s="20"/>
      <c r="W27" s="21"/>
    </row>
    <row r="28" spans="1:27" ht="15.75" x14ac:dyDescent="0.35">
      <c r="A28" s="2" t="s">
        <v>117</v>
      </c>
      <c r="B28" s="2" t="s">
        <v>118</v>
      </c>
      <c r="C28" s="2" t="s">
        <v>330</v>
      </c>
      <c r="D28" s="2" t="s">
        <v>337</v>
      </c>
      <c r="E28" s="2" t="s">
        <v>119</v>
      </c>
      <c r="F28" s="3">
        <v>6405126228</v>
      </c>
      <c r="G28" s="2" t="s">
        <v>46</v>
      </c>
      <c r="H28" s="2" t="s">
        <v>15</v>
      </c>
      <c r="I28" s="3">
        <v>7</v>
      </c>
      <c r="J28" s="3">
        <v>191</v>
      </c>
      <c r="K28" s="3">
        <v>1337</v>
      </c>
      <c r="L28" s="2" t="s">
        <v>35</v>
      </c>
      <c r="M28" s="3" t="s">
        <v>120</v>
      </c>
      <c r="N28" s="30" t="str">
        <f t="shared" si="0"/>
        <v>Single Order</v>
      </c>
      <c r="O28" s="8"/>
      <c r="P28" s="8"/>
    </row>
    <row r="29" spans="1:27" ht="15.75" x14ac:dyDescent="0.35">
      <c r="A29" s="2" t="s">
        <v>121</v>
      </c>
      <c r="B29" s="2" t="s">
        <v>122</v>
      </c>
      <c r="C29" s="2" t="s">
        <v>334</v>
      </c>
      <c r="D29" s="2" t="s">
        <v>338</v>
      </c>
      <c r="E29" s="2" t="s">
        <v>123</v>
      </c>
      <c r="F29" s="3">
        <v>6260329455</v>
      </c>
      <c r="G29" s="2" t="s">
        <v>40</v>
      </c>
      <c r="H29" s="2" t="s">
        <v>34</v>
      </c>
      <c r="I29" s="3">
        <v>6</v>
      </c>
      <c r="J29" s="3">
        <v>419</v>
      </c>
      <c r="K29" s="3">
        <v>2514</v>
      </c>
      <c r="L29" s="2" t="s">
        <v>60</v>
      </c>
      <c r="M29" s="4">
        <v>45330</v>
      </c>
      <c r="N29" s="30" t="str">
        <f t="shared" si="0"/>
        <v>Multiple Orders</v>
      </c>
      <c r="O29" s="7" t="s">
        <v>314</v>
      </c>
      <c r="P29" s="8"/>
    </row>
    <row r="30" spans="1:27" ht="15.75" x14ac:dyDescent="0.35">
      <c r="A30" s="2" t="s">
        <v>124</v>
      </c>
      <c r="B30" s="2" t="s">
        <v>125</v>
      </c>
      <c r="C30" s="2" t="s">
        <v>335</v>
      </c>
      <c r="D30" s="2" t="s">
        <v>343</v>
      </c>
      <c r="E30" s="2" t="s">
        <v>126</v>
      </c>
      <c r="F30" s="3">
        <v>7926780541</v>
      </c>
      <c r="G30" s="2" t="s">
        <v>95</v>
      </c>
      <c r="H30" s="2" t="s">
        <v>15</v>
      </c>
      <c r="I30" s="3">
        <v>7</v>
      </c>
      <c r="J30" s="3">
        <v>103</v>
      </c>
      <c r="K30" s="3">
        <v>721</v>
      </c>
      <c r="L30" s="2" t="s">
        <v>60</v>
      </c>
      <c r="M30" s="3" t="s">
        <v>127</v>
      </c>
      <c r="N30" s="30" t="str">
        <f t="shared" si="0"/>
        <v>Single Order</v>
      </c>
      <c r="O30" s="8" t="s">
        <v>315</v>
      </c>
      <c r="P30" s="8"/>
    </row>
    <row r="31" spans="1:27" ht="15.75" x14ac:dyDescent="0.35">
      <c r="A31" s="2" t="s">
        <v>128</v>
      </c>
      <c r="B31" s="2" t="s">
        <v>101</v>
      </c>
      <c r="C31" s="2" t="s">
        <v>325</v>
      </c>
      <c r="D31" s="2" t="s">
        <v>342</v>
      </c>
      <c r="E31" s="2" t="s">
        <v>102</v>
      </c>
      <c r="F31" s="3">
        <v>9470429115</v>
      </c>
      <c r="G31" s="2" t="s">
        <v>25</v>
      </c>
      <c r="H31" s="2" t="s">
        <v>15</v>
      </c>
      <c r="I31" s="3">
        <v>1</v>
      </c>
      <c r="J31" s="3">
        <v>343</v>
      </c>
      <c r="K31" s="3">
        <v>343</v>
      </c>
      <c r="L31" s="2" t="s">
        <v>16</v>
      </c>
      <c r="M31" s="3" t="s">
        <v>129</v>
      </c>
      <c r="N31" s="30" t="str">
        <f t="shared" si="0"/>
        <v>Multiple Orders</v>
      </c>
      <c r="O31" s="7" t="s">
        <v>320</v>
      </c>
      <c r="P31" s="16" t="s">
        <v>351</v>
      </c>
      <c r="Q31" s="17"/>
      <c r="R31" s="17"/>
      <c r="S31" s="17"/>
      <c r="T31" s="17"/>
      <c r="U31" s="18"/>
    </row>
    <row r="32" spans="1:27" ht="15.75" x14ac:dyDescent="0.35">
      <c r="A32" s="2" t="s">
        <v>130</v>
      </c>
      <c r="B32" s="2" t="s">
        <v>49</v>
      </c>
      <c r="C32" s="2" t="s">
        <v>325</v>
      </c>
      <c r="D32" s="2" t="s">
        <v>337</v>
      </c>
      <c r="E32" s="2" t="s">
        <v>50</v>
      </c>
      <c r="F32" s="3">
        <v>6714300770</v>
      </c>
      <c r="G32" s="2" t="s">
        <v>40</v>
      </c>
      <c r="H32" s="2" t="s">
        <v>26</v>
      </c>
      <c r="I32" s="3">
        <v>8</v>
      </c>
      <c r="J32" s="3">
        <v>119</v>
      </c>
      <c r="K32" s="3">
        <v>952</v>
      </c>
      <c r="L32" s="2" t="s">
        <v>60</v>
      </c>
      <c r="M32" s="4">
        <v>45475</v>
      </c>
      <c r="N32" s="30" t="str">
        <f t="shared" si="0"/>
        <v>Multiple Orders</v>
      </c>
      <c r="O32" s="8"/>
      <c r="P32" s="19" t="s">
        <v>352</v>
      </c>
      <c r="Q32" s="20"/>
      <c r="R32" s="20"/>
      <c r="S32" s="20"/>
      <c r="T32" s="20"/>
      <c r="U32" s="21"/>
    </row>
    <row r="33" spans="1:79" ht="15.75" x14ac:dyDescent="0.35">
      <c r="A33" s="2" t="s">
        <v>131</v>
      </c>
      <c r="B33" s="2" t="s">
        <v>132</v>
      </c>
      <c r="C33" s="2" t="s">
        <v>330</v>
      </c>
      <c r="D33" s="2" t="s">
        <v>326</v>
      </c>
      <c r="E33" s="2" t="s">
        <v>133</v>
      </c>
      <c r="F33" s="3">
        <v>7676848676</v>
      </c>
      <c r="G33" s="2" t="s">
        <v>14</v>
      </c>
      <c r="H33" s="2" t="s">
        <v>26</v>
      </c>
      <c r="I33" s="2">
        <v>5</v>
      </c>
      <c r="J33" s="3">
        <v>226</v>
      </c>
      <c r="K33" s="5" t="e">
        <v>#VALUE!</v>
      </c>
      <c r="L33" s="2" t="s">
        <v>35</v>
      </c>
      <c r="M33" s="3" t="s">
        <v>89</v>
      </c>
      <c r="N33" s="30" t="str">
        <f t="shared" si="0"/>
        <v>Single Order</v>
      </c>
      <c r="P33" s="8"/>
    </row>
    <row r="34" spans="1:79" ht="15.75" x14ac:dyDescent="0.35">
      <c r="A34" s="2" t="s">
        <v>134</v>
      </c>
      <c r="B34" s="2" t="s">
        <v>135</v>
      </c>
      <c r="C34" s="2" t="s">
        <v>329</v>
      </c>
      <c r="D34" s="2" t="s">
        <v>337</v>
      </c>
      <c r="E34" s="2" t="s">
        <v>136</v>
      </c>
      <c r="F34" s="3">
        <v>7274350418</v>
      </c>
      <c r="G34" s="2" t="s">
        <v>55</v>
      </c>
      <c r="H34" s="2" t="s">
        <v>15</v>
      </c>
      <c r="I34" s="3">
        <v>10</v>
      </c>
      <c r="J34" s="3">
        <v>386</v>
      </c>
      <c r="K34" s="3">
        <v>3860</v>
      </c>
      <c r="L34" s="2" t="s">
        <v>41</v>
      </c>
      <c r="M34" s="4">
        <v>45537</v>
      </c>
      <c r="N34" s="30" t="str">
        <f t="shared" si="0"/>
        <v>Single Order</v>
      </c>
      <c r="O34" s="7" t="s">
        <v>316</v>
      </c>
      <c r="P34" s="8"/>
    </row>
    <row r="35" spans="1:79" ht="15.75" x14ac:dyDescent="0.35">
      <c r="A35" s="2" t="s">
        <v>137</v>
      </c>
      <c r="B35" s="2" t="s">
        <v>138</v>
      </c>
      <c r="C35" s="2" t="s">
        <v>334</v>
      </c>
      <c r="D35" s="2" t="s">
        <v>326</v>
      </c>
      <c r="E35" s="2" t="s">
        <v>139</v>
      </c>
      <c r="F35" s="3">
        <v>8509023674</v>
      </c>
      <c r="G35" s="2" t="s">
        <v>68</v>
      </c>
      <c r="H35" s="2" t="s">
        <v>15</v>
      </c>
      <c r="I35" s="3">
        <v>9</v>
      </c>
      <c r="J35" s="3">
        <v>480</v>
      </c>
      <c r="K35" s="3">
        <v>4320</v>
      </c>
      <c r="L35" s="2" t="s">
        <v>16</v>
      </c>
      <c r="M35" s="4">
        <v>45541</v>
      </c>
      <c r="N35" s="30" t="str">
        <f t="shared" si="0"/>
        <v>Single Order</v>
      </c>
      <c r="O35" s="8" t="s">
        <v>353</v>
      </c>
      <c r="P35" s="8"/>
    </row>
    <row r="36" spans="1:79" ht="15.75" x14ac:dyDescent="0.35">
      <c r="A36" s="2" t="s">
        <v>140</v>
      </c>
      <c r="B36" s="2" t="s">
        <v>38</v>
      </c>
      <c r="C36" s="2" t="s">
        <v>328</v>
      </c>
      <c r="D36" s="2" t="s">
        <v>338</v>
      </c>
      <c r="E36" s="2" t="s">
        <v>39</v>
      </c>
      <c r="F36" s="3">
        <v>9656488400</v>
      </c>
      <c r="G36" s="2" t="s">
        <v>95</v>
      </c>
      <c r="H36" s="2" t="s">
        <v>15</v>
      </c>
      <c r="I36" s="3">
        <v>2</v>
      </c>
      <c r="J36" s="3">
        <v>314</v>
      </c>
      <c r="K36" s="3">
        <v>628</v>
      </c>
      <c r="L36" s="2" t="s">
        <v>60</v>
      </c>
      <c r="M36" s="3" t="s">
        <v>141</v>
      </c>
      <c r="N36" s="30" t="str">
        <f t="shared" si="0"/>
        <v>Multiple Orders</v>
      </c>
      <c r="O36" s="7" t="s">
        <v>320</v>
      </c>
      <c r="P36" s="16" t="s">
        <v>354</v>
      </c>
      <c r="Q36" s="17"/>
      <c r="R36" s="17"/>
      <c r="S36" s="17"/>
      <c r="T36" s="18"/>
    </row>
    <row r="37" spans="1:79" ht="15.75" x14ac:dyDescent="0.35">
      <c r="A37" s="2" t="s">
        <v>142</v>
      </c>
      <c r="B37" s="2" t="s">
        <v>31</v>
      </c>
      <c r="C37" s="2" t="s">
        <v>330</v>
      </c>
      <c r="D37" s="2" t="s">
        <v>338</v>
      </c>
      <c r="E37" s="2" t="s">
        <v>32</v>
      </c>
      <c r="F37" s="3">
        <v>9823754905</v>
      </c>
      <c r="G37" s="2" t="s">
        <v>110</v>
      </c>
      <c r="H37" s="2" t="s">
        <v>15</v>
      </c>
      <c r="I37" s="3">
        <v>10</v>
      </c>
      <c r="J37" s="3">
        <v>314</v>
      </c>
      <c r="K37" s="3">
        <v>3140</v>
      </c>
      <c r="L37" s="2" t="s">
        <v>16</v>
      </c>
      <c r="M37" s="3" t="s">
        <v>143</v>
      </c>
      <c r="N37" s="30" t="str">
        <f t="shared" si="0"/>
        <v>Multiple Orders</v>
      </c>
      <c r="O37" s="8"/>
      <c r="P37" s="13" t="s">
        <v>355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5"/>
    </row>
    <row r="38" spans="1:79" ht="15.75" x14ac:dyDescent="0.35">
      <c r="A38" s="2" t="s">
        <v>144</v>
      </c>
      <c r="B38" s="2" t="s">
        <v>145</v>
      </c>
      <c r="C38" s="2" t="s">
        <v>330</v>
      </c>
      <c r="D38" s="2" t="s">
        <v>344</v>
      </c>
      <c r="E38" s="2" t="s">
        <v>146</v>
      </c>
      <c r="F38" s="3">
        <v>8427631155</v>
      </c>
      <c r="G38" s="2" t="s">
        <v>25</v>
      </c>
      <c r="H38" s="2" t="s">
        <v>26</v>
      </c>
      <c r="I38" s="2">
        <v>5</v>
      </c>
      <c r="J38" s="3">
        <v>114</v>
      </c>
      <c r="K38" s="5" t="e">
        <v>#VALUE!</v>
      </c>
      <c r="L38" s="2" t="s">
        <v>41</v>
      </c>
      <c r="M38" s="3" t="s">
        <v>147</v>
      </c>
      <c r="N38" s="30" t="str">
        <f t="shared" si="0"/>
        <v>Multiple Orders</v>
      </c>
      <c r="P38" s="8"/>
    </row>
    <row r="39" spans="1:79" ht="15.75" x14ac:dyDescent="0.35">
      <c r="A39" s="2" t="s">
        <v>148</v>
      </c>
      <c r="B39" s="2" t="s">
        <v>149</v>
      </c>
      <c r="C39" s="2" t="s">
        <v>335</v>
      </c>
      <c r="D39" s="2" t="s">
        <v>341</v>
      </c>
      <c r="E39" s="2" t="s">
        <v>150</v>
      </c>
      <c r="F39" s="3">
        <v>7699887270</v>
      </c>
      <c r="G39" s="2" t="s">
        <v>95</v>
      </c>
      <c r="H39" s="2" t="s">
        <v>15</v>
      </c>
      <c r="I39" s="2">
        <v>5</v>
      </c>
      <c r="J39" s="3">
        <v>244</v>
      </c>
      <c r="K39" s="5" t="e">
        <v>#VALUE!</v>
      </c>
      <c r="L39" s="2" t="s">
        <v>16</v>
      </c>
      <c r="M39" s="3" t="s">
        <v>151</v>
      </c>
      <c r="N39" s="30" t="str">
        <f t="shared" si="0"/>
        <v>Multiple Orders</v>
      </c>
      <c r="O39" s="7" t="s">
        <v>317</v>
      </c>
      <c r="P39" s="8"/>
    </row>
    <row r="40" spans="1:79" ht="15.75" x14ac:dyDescent="0.45">
      <c r="A40" s="2" t="s">
        <v>152</v>
      </c>
      <c r="B40" s="2" t="s">
        <v>153</v>
      </c>
      <c r="C40" s="2" t="s">
        <v>334</v>
      </c>
      <c r="D40" s="2" t="s">
        <v>342</v>
      </c>
      <c r="E40" s="2" t="s">
        <v>154</v>
      </c>
      <c r="F40" s="3">
        <v>8667858669</v>
      </c>
      <c r="G40" s="2" t="s">
        <v>110</v>
      </c>
      <c r="H40" s="2" t="s">
        <v>15</v>
      </c>
      <c r="I40" s="3">
        <v>2</v>
      </c>
      <c r="J40" s="3">
        <v>285</v>
      </c>
      <c r="K40" s="3">
        <v>570</v>
      </c>
      <c r="L40" s="2" t="s">
        <v>41</v>
      </c>
      <c r="M40" s="3" t="s">
        <v>21</v>
      </c>
      <c r="N40" s="30" t="str">
        <f t="shared" si="0"/>
        <v>Multiple Orders</v>
      </c>
      <c r="O40" s="8" t="s">
        <v>318</v>
      </c>
      <c r="P40"/>
      <c r="Q40"/>
    </row>
    <row r="41" spans="1:79" x14ac:dyDescent="0.35">
      <c r="A41" s="2" t="s">
        <v>155</v>
      </c>
      <c r="B41" s="2" t="s">
        <v>53</v>
      </c>
      <c r="C41" s="2" t="s">
        <v>329</v>
      </c>
      <c r="D41" s="2" t="s">
        <v>339</v>
      </c>
      <c r="E41" s="2" t="s">
        <v>54</v>
      </c>
      <c r="F41" s="3">
        <v>9783282817</v>
      </c>
      <c r="G41" s="2" t="s">
        <v>46</v>
      </c>
      <c r="H41" s="2" t="s">
        <v>15</v>
      </c>
      <c r="I41" s="3">
        <v>4</v>
      </c>
      <c r="J41" s="3">
        <v>199</v>
      </c>
      <c r="K41" s="3">
        <v>796</v>
      </c>
      <c r="L41" s="2" t="s">
        <v>35</v>
      </c>
      <c r="M41" s="4">
        <v>45418</v>
      </c>
      <c r="N41" s="30" t="str">
        <f t="shared" si="0"/>
        <v>Multiple Orders</v>
      </c>
    </row>
    <row r="42" spans="1:79" ht="15.75" x14ac:dyDescent="0.45">
      <c r="A42" s="2" t="s">
        <v>156</v>
      </c>
      <c r="B42" s="2" t="s">
        <v>83</v>
      </c>
      <c r="C42" s="2" t="s">
        <v>328</v>
      </c>
      <c r="D42" s="2" t="s">
        <v>341</v>
      </c>
      <c r="E42" s="2" t="s">
        <v>84</v>
      </c>
      <c r="F42" s="3">
        <v>8627135980</v>
      </c>
      <c r="G42" s="2" t="s">
        <v>25</v>
      </c>
      <c r="H42" s="2" t="s">
        <v>15</v>
      </c>
      <c r="I42" s="3">
        <v>9</v>
      </c>
      <c r="J42" s="3">
        <v>163</v>
      </c>
      <c r="K42" s="3">
        <v>1467</v>
      </c>
      <c r="L42" s="2" t="s">
        <v>60</v>
      </c>
      <c r="M42" s="4">
        <v>45600</v>
      </c>
      <c r="N42" s="30" t="str">
        <f t="shared" si="0"/>
        <v>Multiple Orders</v>
      </c>
      <c r="O42" s="7" t="s">
        <v>320</v>
      </c>
      <c r="P42" s="31" t="s">
        <v>360</v>
      </c>
      <c r="Q42" s="14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3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 spans="1:79" x14ac:dyDescent="0.45">
      <c r="A43" s="2" t="s">
        <v>157</v>
      </c>
      <c r="B43" s="2" t="s">
        <v>158</v>
      </c>
      <c r="C43" s="2" t="s">
        <v>332</v>
      </c>
      <c r="D43" s="2" t="s">
        <v>338</v>
      </c>
      <c r="E43" s="2" t="s">
        <v>159</v>
      </c>
      <c r="F43" s="3">
        <v>9821286999</v>
      </c>
      <c r="G43" s="2" t="s">
        <v>46</v>
      </c>
      <c r="H43" s="2" t="s">
        <v>15</v>
      </c>
      <c r="I43" s="3">
        <v>9</v>
      </c>
      <c r="J43" s="3">
        <v>89</v>
      </c>
      <c r="K43" s="3">
        <v>801</v>
      </c>
      <c r="L43" s="2" t="s">
        <v>60</v>
      </c>
      <c r="M43" s="4">
        <v>45422</v>
      </c>
      <c r="N43" s="30" t="str">
        <f t="shared" si="0"/>
        <v>Single Order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</row>
    <row r="44" spans="1:79" x14ac:dyDescent="0.45">
      <c r="A44" s="2" t="s">
        <v>160</v>
      </c>
      <c r="B44" s="2" t="s">
        <v>75</v>
      </c>
      <c r="C44" s="2" t="s">
        <v>331</v>
      </c>
      <c r="D44" s="2" t="s">
        <v>337</v>
      </c>
      <c r="E44" s="2" t="s">
        <v>76</v>
      </c>
      <c r="F44" s="3">
        <v>8952777682</v>
      </c>
      <c r="G44" s="2" t="s">
        <v>14</v>
      </c>
      <c r="H44" s="2" t="s">
        <v>34</v>
      </c>
      <c r="I44" s="3">
        <v>8</v>
      </c>
      <c r="J44" s="3">
        <v>138</v>
      </c>
      <c r="K44" s="3">
        <v>1104</v>
      </c>
      <c r="L44" s="2" t="s">
        <v>35</v>
      </c>
      <c r="M44" s="4">
        <v>45294</v>
      </c>
      <c r="N44" s="30" t="str">
        <f t="shared" si="0"/>
        <v>Multiple Orders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 spans="1:79" x14ac:dyDescent="0.45">
      <c r="A45" s="2" t="s">
        <v>161</v>
      </c>
      <c r="B45" s="2" t="s">
        <v>162</v>
      </c>
      <c r="C45" s="2" t="s">
        <v>332</v>
      </c>
      <c r="D45" s="2" t="s">
        <v>326</v>
      </c>
      <c r="E45" s="2" t="s">
        <v>163</v>
      </c>
      <c r="F45" s="3">
        <v>6015228622</v>
      </c>
      <c r="G45" s="2" t="s">
        <v>33</v>
      </c>
      <c r="H45" s="2" t="s">
        <v>15</v>
      </c>
      <c r="I45" s="2">
        <v>5</v>
      </c>
      <c r="J45" s="3">
        <v>92</v>
      </c>
      <c r="K45" s="5" t="e">
        <v>#VALUE!</v>
      </c>
      <c r="L45" s="2" t="s">
        <v>35</v>
      </c>
      <c r="M45" s="3" t="s">
        <v>164</v>
      </c>
      <c r="N45" s="30" t="str">
        <f t="shared" si="0"/>
        <v>Multiple Orders</v>
      </c>
      <c r="P45" s="31" t="s">
        <v>361</v>
      </c>
      <c r="Q45" s="14"/>
      <c r="R45" s="32"/>
      <c r="S45" s="14"/>
      <c r="T45" s="14"/>
      <c r="U45" s="14"/>
      <c r="V45" s="14"/>
      <c r="W45" s="14"/>
      <c r="X45" s="14"/>
      <c r="Y45" s="14"/>
      <c r="Z45" s="15"/>
      <c r="AA45" s="14"/>
      <c r="AB45" s="14"/>
      <c r="AC45" s="14"/>
      <c r="AD45" s="15"/>
    </row>
    <row r="46" spans="1:79" x14ac:dyDescent="0.45">
      <c r="A46" s="2" t="s">
        <v>165</v>
      </c>
      <c r="B46" s="2" t="s">
        <v>166</v>
      </c>
      <c r="C46" s="2" t="s">
        <v>328</v>
      </c>
      <c r="D46" s="2" t="s">
        <v>326</v>
      </c>
      <c r="E46" s="2" t="s">
        <v>167</v>
      </c>
      <c r="F46" s="3">
        <v>6480494664</v>
      </c>
      <c r="G46" s="2" t="s">
        <v>46</v>
      </c>
      <c r="H46" s="2" t="s">
        <v>15</v>
      </c>
      <c r="I46" s="3">
        <v>3</v>
      </c>
      <c r="J46" s="3">
        <v>289</v>
      </c>
      <c r="K46" s="3">
        <v>867</v>
      </c>
      <c r="L46" s="2" t="s">
        <v>41</v>
      </c>
      <c r="M46" s="3" t="s">
        <v>168</v>
      </c>
      <c r="N46" s="30" t="str">
        <f t="shared" si="0"/>
        <v>Multiple Orders</v>
      </c>
      <c r="R46"/>
    </row>
    <row r="47" spans="1:79" ht="26.25" x14ac:dyDescent="0.45">
      <c r="A47" s="2" t="s">
        <v>169</v>
      </c>
      <c r="B47" s="2" t="s">
        <v>170</v>
      </c>
      <c r="C47" s="2" t="s">
        <v>327</v>
      </c>
      <c r="D47" s="2" t="s">
        <v>343</v>
      </c>
      <c r="E47" s="2" t="s">
        <v>171</v>
      </c>
      <c r="F47" s="3">
        <v>6636057975</v>
      </c>
      <c r="G47" s="2" t="s">
        <v>40</v>
      </c>
      <c r="H47" s="2" t="s">
        <v>15</v>
      </c>
      <c r="I47" s="3">
        <v>1</v>
      </c>
      <c r="J47" s="3">
        <v>167</v>
      </c>
      <c r="K47" s="3">
        <v>167</v>
      </c>
      <c r="L47" s="2" t="s">
        <v>16</v>
      </c>
      <c r="M47" s="3" t="s">
        <v>172</v>
      </c>
      <c r="N47" s="30" t="str">
        <f t="shared" si="0"/>
        <v>Multiple Orders</v>
      </c>
      <c r="P47" s="26" t="s">
        <v>1</v>
      </c>
      <c r="Q47" t="s">
        <v>358</v>
      </c>
      <c r="R47"/>
    </row>
    <row r="48" spans="1:79" x14ac:dyDescent="0.45">
      <c r="A48" s="2" t="s">
        <v>173</v>
      </c>
      <c r="B48" s="2" t="s">
        <v>75</v>
      </c>
      <c r="C48" s="2" t="s">
        <v>331</v>
      </c>
      <c r="D48" s="2" t="s">
        <v>337</v>
      </c>
      <c r="E48" s="2" t="s">
        <v>76</v>
      </c>
      <c r="F48" s="3">
        <v>8929454134</v>
      </c>
      <c r="G48" s="2" t="s">
        <v>55</v>
      </c>
      <c r="H48" s="2" t="s">
        <v>34</v>
      </c>
      <c r="I48" s="3">
        <v>2</v>
      </c>
      <c r="J48" s="3">
        <v>191</v>
      </c>
      <c r="K48" s="3">
        <v>382</v>
      </c>
      <c r="L48" s="2" t="s">
        <v>35</v>
      </c>
      <c r="M48" s="3" t="s">
        <v>174</v>
      </c>
      <c r="N48" s="30" t="str">
        <f t="shared" si="0"/>
        <v>Multiple Orders</v>
      </c>
      <c r="P48" s="27" t="s">
        <v>75</v>
      </c>
      <c r="Q48" s="34">
        <v>3</v>
      </c>
      <c r="R48"/>
    </row>
    <row r="49" spans="1:18" x14ac:dyDescent="0.45">
      <c r="A49" s="2" t="s">
        <v>175</v>
      </c>
      <c r="B49" s="2" t="s">
        <v>58</v>
      </c>
      <c r="C49" s="2" t="s">
        <v>327</v>
      </c>
      <c r="D49" s="2" t="s">
        <v>340</v>
      </c>
      <c r="E49" s="2" t="s">
        <v>59</v>
      </c>
      <c r="F49" s="3">
        <v>9976125337</v>
      </c>
      <c r="G49" s="2" t="s">
        <v>55</v>
      </c>
      <c r="H49" s="2" t="s">
        <v>15</v>
      </c>
      <c r="I49" s="3">
        <v>3</v>
      </c>
      <c r="J49" s="3">
        <v>461</v>
      </c>
      <c r="K49" s="3">
        <v>1383</v>
      </c>
      <c r="L49" s="2" t="s">
        <v>60</v>
      </c>
      <c r="M49" s="4">
        <v>45474</v>
      </c>
      <c r="N49" s="30" t="str">
        <f t="shared" si="0"/>
        <v>Multiple Orders</v>
      </c>
      <c r="P49" s="27" t="s">
        <v>153</v>
      </c>
      <c r="Q49" s="34">
        <v>3</v>
      </c>
      <c r="R49"/>
    </row>
    <row r="50" spans="1:18" x14ac:dyDescent="0.45">
      <c r="A50" s="2" t="s">
        <v>176</v>
      </c>
      <c r="B50" s="2" t="s">
        <v>177</v>
      </c>
      <c r="C50" s="2" t="s">
        <v>331</v>
      </c>
      <c r="D50" s="2" t="s">
        <v>336</v>
      </c>
      <c r="E50" s="2" t="s">
        <v>178</v>
      </c>
      <c r="F50" s="3">
        <v>9445573666</v>
      </c>
      <c r="G50" s="2" t="s">
        <v>55</v>
      </c>
      <c r="H50" s="2" t="s">
        <v>26</v>
      </c>
      <c r="I50" s="3">
        <v>3</v>
      </c>
      <c r="J50" s="3">
        <v>413</v>
      </c>
      <c r="K50" s="3">
        <v>1239</v>
      </c>
      <c r="L50" s="2" t="s">
        <v>35</v>
      </c>
      <c r="M50" s="4">
        <v>45630</v>
      </c>
      <c r="N50" s="30" t="str">
        <f t="shared" si="0"/>
        <v>Multiple Orders</v>
      </c>
      <c r="P50" s="27" t="s">
        <v>187</v>
      </c>
      <c r="Q50" s="34">
        <v>3</v>
      </c>
      <c r="R50"/>
    </row>
    <row r="51" spans="1:18" x14ac:dyDescent="0.45">
      <c r="A51" s="2" t="s">
        <v>179</v>
      </c>
      <c r="B51" s="2" t="s">
        <v>153</v>
      </c>
      <c r="C51" s="2" t="s">
        <v>334</v>
      </c>
      <c r="D51" s="2" t="s">
        <v>342</v>
      </c>
      <c r="E51" s="2" t="s">
        <v>154</v>
      </c>
      <c r="F51" s="3">
        <v>6955345537</v>
      </c>
      <c r="G51" s="2" t="s">
        <v>55</v>
      </c>
      <c r="H51" s="2" t="s">
        <v>26</v>
      </c>
      <c r="I51" s="3">
        <v>6</v>
      </c>
      <c r="J51" s="3">
        <v>166</v>
      </c>
      <c r="K51" s="3">
        <v>996</v>
      </c>
      <c r="L51" s="2" t="s">
        <v>16</v>
      </c>
      <c r="M51" s="4">
        <v>45390</v>
      </c>
      <c r="N51" s="30" t="str">
        <f t="shared" si="0"/>
        <v>Multiple Orders</v>
      </c>
      <c r="P51" s="27" t="s">
        <v>53</v>
      </c>
      <c r="Q51" s="34">
        <v>3</v>
      </c>
      <c r="R51"/>
    </row>
    <row r="52" spans="1:18" x14ac:dyDescent="0.45">
      <c r="A52" s="2" t="s">
        <v>180</v>
      </c>
      <c r="B52" s="2" t="s">
        <v>181</v>
      </c>
      <c r="C52" s="2" t="s">
        <v>335</v>
      </c>
      <c r="D52" s="2" t="s">
        <v>336</v>
      </c>
      <c r="E52" s="2" t="s">
        <v>182</v>
      </c>
      <c r="F52" s="3">
        <v>7409874348</v>
      </c>
      <c r="G52" s="2" t="s">
        <v>14</v>
      </c>
      <c r="H52" s="2" t="s">
        <v>15</v>
      </c>
      <c r="I52" s="2">
        <v>5</v>
      </c>
      <c r="J52" s="3">
        <v>189</v>
      </c>
      <c r="K52" s="5" t="e">
        <v>#VALUE!</v>
      </c>
      <c r="L52" s="2" t="s">
        <v>35</v>
      </c>
      <c r="M52" s="3" t="s">
        <v>93</v>
      </c>
      <c r="N52" s="30" t="str">
        <f t="shared" si="0"/>
        <v>Multiple Orders</v>
      </c>
      <c r="P52" s="27" t="s">
        <v>145</v>
      </c>
      <c r="Q52" s="34">
        <v>3</v>
      </c>
      <c r="R52"/>
    </row>
    <row r="53" spans="1:18" x14ac:dyDescent="0.45">
      <c r="A53" s="2" t="s">
        <v>183</v>
      </c>
      <c r="B53" s="2" t="s">
        <v>184</v>
      </c>
      <c r="C53" s="2" t="s">
        <v>328</v>
      </c>
      <c r="D53" s="2" t="s">
        <v>339</v>
      </c>
      <c r="E53" s="2" t="s">
        <v>185</v>
      </c>
      <c r="F53" s="3">
        <v>6118543408</v>
      </c>
      <c r="G53" s="2" t="s">
        <v>46</v>
      </c>
      <c r="H53" s="2" t="s">
        <v>15</v>
      </c>
      <c r="I53" s="2">
        <v>5</v>
      </c>
      <c r="J53" s="3">
        <v>101</v>
      </c>
      <c r="K53" s="5" t="e">
        <v>#VALUE!</v>
      </c>
      <c r="L53" s="2" t="s">
        <v>16</v>
      </c>
      <c r="M53" s="4">
        <v>45574</v>
      </c>
      <c r="N53" s="30" t="str">
        <f t="shared" si="0"/>
        <v>Single Order</v>
      </c>
      <c r="P53" s="27" t="s">
        <v>83</v>
      </c>
      <c r="Q53" s="34">
        <v>3</v>
      </c>
      <c r="R53"/>
    </row>
    <row r="54" spans="1:18" x14ac:dyDescent="0.45">
      <c r="A54" s="2" t="s">
        <v>186</v>
      </c>
      <c r="B54" s="2" t="s">
        <v>187</v>
      </c>
      <c r="C54" s="2" t="s">
        <v>325</v>
      </c>
      <c r="D54" s="2" t="s">
        <v>344</v>
      </c>
      <c r="E54" s="2" t="s">
        <v>188</v>
      </c>
      <c r="F54" s="3">
        <v>7866437132</v>
      </c>
      <c r="G54" s="2" t="s">
        <v>33</v>
      </c>
      <c r="H54" s="2" t="s">
        <v>34</v>
      </c>
      <c r="I54" s="3">
        <v>6</v>
      </c>
      <c r="J54" s="3">
        <v>233</v>
      </c>
      <c r="K54" s="3">
        <v>1398</v>
      </c>
      <c r="L54" s="2" t="s">
        <v>16</v>
      </c>
      <c r="M54" s="3" t="s">
        <v>189</v>
      </c>
      <c r="N54" s="30" t="str">
        <f t="shared" si="0"/>
        <v>Multiple Orders</v>
      </c>
      <c r="P54" s="27" t="s">
        <v>49</v>
      </c>
      <c r="Q54" s="34">
        <v>3</v>
      </c>
      <c r="R54"/>
    </row>
    <row r="55" spans="1:18" x14ac:dyDescent="0.45">
      <c r="A55" s="2" t="s">
        <v>190</v>
      </c>
      <c r="B55" s="2" t="s">
        <v>145</v>
      </c>
      <c r="C55" s="2" t="s">
        <v>330</v>
      </c>
      <c r="D55" s="2" t="s">
        <v>344</v>
      </c>
      <c r="E55" s="2" t="s">
        <v>146</v>
      </c>
      <c r="F55" s="3">
        <v>6816382125</v>
      </c>
      <c r="G55" s="2" t="s">
        <v>14</v>
      </c>
      <c r="H55" s="2" t="s">
        <v>15</v>
      </c>
      <c r="I55" s="3">
        <v>7</v>
      </c>
      <c r="J55" s="3">
        <v>10</v>
      </c>
      <c r="K55" s="3">
        <v>70</v>
      </c>
      <c r="L55" s="2" t="s">
        <v>60</v>
      </c>
      <c r="M55" s="3" t="s">
        <v>191</v>
      </c>
      <c r="N55" s="30" t="str">
        <f t="shared" si="0"/>
        <v>Multiple Orders</v>
      </c>
      <c r="P55" s="27" t="s">
        <v>200</v>
      </c>
      <c r="Q55" s="34">
        <v>3</v>
      </c>
      <c r="R55"/>
    </row>
    <row r="56" spans="1:18" x14ac:dyDescent="0.45">
      <c r="A56" s="2" t="s">
        <v>192</v>
      </c>
      <c r="B56" s="2" t="s">
        <v>177</v>
      </c>
      <c r="C56" s="2" t="s">
        <v>331</v>
      </c>
      <c r="D56" s="2" t="s">
        <v>336</v>
      </c>
      <c r="E56" s="2" t="s">
        <v>178</v>
      </c>
      <c r="F56" s="3">
        <v>6300535210</v>
      </c>
      <c r="G56" s="2" t="s">
        <v>33</v>
      </c>
      <c r="H56" s="2" t="s">
        <v>34</v>
      </c>
      <c r="I56" s="3">
        <v>6</v>
      </c>
      <c r="J56" s="3">
        <v>349</v>
      </c>
      <c r="K56" s="3">
        <v>2094</v>
      </c>
      <c r="L56" s="2" t="s">
        <v>41</v>
      </c>
      <c r="M56" s="3" t="s">
        <v>193</v>
      </c>
      <c r="N56" s="30" t="str">
        <f t="shared" si="0"/>
        <v>Multiple Orders</v>
      </c>
      <c r="P56" s="27" t="s">
        <v>228</v>
      </c>
      <c r="Q56" s="34">
        <v>2</v>
      </c>
      <c r="R56"/>
    </row>
    <row r="57" spans="1:18" x14ac:dyDescent="0.45">
      <c r="A57" s="2" t="s">
        <v>194</v>
      </c>
      <c r="B57" s="2" t="s">
        <v>83</v>
      </c>
      <c r="C57" s="2" t="s">
        <v>328</v>
      </c>
      <c r="D57" s="2" t="s">
        <v>341</v>
      </c>
      <c r="E57" s="2" t="s">
        <v>84</v>
      </c>
      <c r="F57" s="3">
        <v>8864283209</v>
      </c>
      <c r="G57" s="2" t="s">
        <v>40</v>
      </c>
      <c r="H57" s="2" t="s">
        <v>26</v>
      </c>
      <c r="I57" s="3">
        <v>7</v>
      </c>
      <c r="J57" s="3">
        <v>366</v>
      </c>
      <c r="K57" s="3">
        <v>2562</v>
      </c>
      <c r="L57" s="2" t="s">
        <v>60</v>
      </c>
      <c r="M57" s="3" t="s">
        <v>195</v>
      </c>
      <c r="N57" s="30" t="str">
        <f t="shared" si="0"/>
        <v>Multiple Orders</v>
      </c>
      <c r="P57" s="27" t="s">
        <v>112</v>
      </c>
      <c r="Q57" s="34">
        <v>2</v>
      </c>
      <c r="R57"/>
    </row>
    <row r="58" spans="1:18" x14ac:dyDescent="0.45">
      <c r="A58" s="2" t="s">
        <v>196</v>
      </c>
      <c r="B58" s="2" t="s">
        <v>181</v>
      </c>
      <c r="C58" s="2" t="s">
        <v>335</v>
      </c>
      <c r="D58" s="2" t="s">
        <v>336</v>
      </c>
      <c r="E58" s="2" t="s">
        <v>182</v>
      </c>
      <c r="F58" s="3">
        <v>8855850145</v>
      </c>
      <c r="G58" s="2" t="s">
        <v>40</v>
      </c>
      <c r="H58" s="2" t="s">
        <v>34</v>
      </c>
      <c r="I58" s="3">
        <v>3</v>
      </c>
      <c r="J58" s="3">
        <v>325</v>
      </c>
      <c r="K58" s="3">
        <v>975</v>
      </c>
      <c r="L58" s="2" t="s">
        <v>35</v>
      </c>
      <c r="M58" s="4">
        <v>45575</v>
      </c>
      <c r="N58" s="30" t="str">
        <f t="shared" si="0"/>
        <v>Multiple Orders</v>
      </c>
      <c r="P58" s="27" t="s">
        <v>38</v>
      </c>
      <c r="Q58" s="34">
        <v>2</v>
      </c>
      <c r="R58"/>
    </row>
    <row r="59" spans="1:18" x14ac:dyDescent="0.45">
      <c r="A59" s="2" t="s">
        <v>197</v>
      </c>
      <c r="B59" s="2" t="s">
        <v>166</v>
      </c>
      <c r="C59" s="2" t="s">
        <v>328</v>
      </c>
      <c r="D59" s="2" t="s">
        <v>326</v>
      </c>
      <c r="E59" s="2" t="s">
        <v>167</v>
      </c>
      <c r="F59" s="3">
        <v>7305132983</v>
      </c>
      <c r="G59" s="2" t="s">
        <v>14</v>
      </c>
      <c r="H59" s="2" t="s">
        <v>15</v>
      </c>
      <c r="I59" s="3">
        <v>7</v>
      </c>
      <c r="J59" s="3">
        <v>412</v>
      </c>
      <c r="K59" s="3">
        <v>2884</v>
      </c>
      <c r="L59" s="2" t="s">
        <v>41</v>
      </c>
      <c r="M59" s="3" t="s">
        <v>198</v>
      </c>
      <c r="N59" s="30" t="str">
        <f t="shared" si="0"/>
        <v>Multiple Orders</v>
      </c>
      <c r="P59" s="27" t="s">
        <v>241</v>
      </c>
      <c r="Q59" s="34">
        <v>2</v>
      </c>
      <c r="R59"/>
    </row>
    <row r="60" spans="1:18" x14ac:dyDescent="0.45">
      <c r="A60" s="2" t="s">
        <v>199</v>
      </c>
      <c r="B60" s="2" t="s">
        <v>200</v>
      </c>
      <c r="C60" s="2" t="s">
        <v>333</v>
      </c>
      <c r="D60" s="2" t="s">
        <v>342</v>
      </c>
      <c r="E60" s="2" t="s">
        <v>201</v>
      </c>
      <c r="F60" s="3">
        <v>7899061865</v>
      </c>
      <c r="G60" s="2" t="s">
        <v>55</v>
      </c>
      <c r="H60" s="2" t="s">
        <v>34</v>
      </c>
      <c r="I60" s="3">
        <v>8</v>
      </c>
      <c r="J60" s="3">
        <v>416</v>
      </c>
      <c r="K60" s="3">
        <v>3328</v>
      </c>
      <c r="L60" s="2" t="s">
        <v>16</v>
      </c>
      <c r="M60" s="4">
        <v>45632</v>
      </c>
      <c r="N60" s="30" t="str">
        <f t="shared" si="0"/>
        <v>Multiple Orders</v>
      </c>
      <c r="P60" s="27" t="s">
        <v>162</v>
      </c>
      <c r="Q60" s="34">
        <v>2</v>
      </c>
    </row>
    <row r="61" spans="1:18" x14ac:dyDescent="0.45">
      <c r="A61" s="2" t="s">
        <v>202</v>
      </c>
      <c r="B61" s="2" t="s">
        <v>203</v>
      </c>
      <c r="C61" s="2" t="s">
        <v>332</v>
      </c>
      <c r="D61" s="2" t="s">
        <v>343</v>
      </c>
      <c r="E61" s="2" t="s">
        <v>204</v>
      </c>
      <c r="F61" s="3">
        <v>8851230518</v>
      </c>
      <c r="G61" s="2" t="s">
        <v>110</v>
      </c>
      <c r="H61" s="2" t="s">
        <v>26</v>
      </c>
      <c r="I61" s="3">
        <v>2</v>
      </c>
      <c r="J61" s="3">
        <v>429</v>
      </c>
      <c r="K61" s="3">
        <v>858</v>
      </c>
      <c r="L61" s="2" t="s">
        <v>41</v>
      </c>
      <c r="M61" s="3" t="s">
        <v>205</v>
      </c>
      <c r="N61" s="30" t="str">
        <f t="shared" si="0"/>
        <v>Single Order</v>
      </c>
      <c r="P61" s="27" t="s">
        <v>166</v>
      </c>
      <c r="Q61" s="34">
        <v>2</v>
      </c>
    </row>
    <row r="62" spans="1:18" x14ac:dyDescent="0.45">
      <c r="A62" s="2" t="s">
        <v>206</v>
      </c>
      <c r="B62" s="2" t="s">
        <v>207</v>
      </c>
      <c r="C62" s="2" t="s">
        <v>335</v>
      </c>
      <c r="D62" s="2" t="s">
        <v>337</v>
      </c>
      <c r="E62" s="2" t="s">
        <v>208</v>
      </c>
      <c r="F62" s="3">
        <v>6632880459</v>
      </c>
      <c r="G62" s="2" t="s">
        <v>20</v>
      </c>
      <c r="H62" s="2" t="s">
        <v>15</v>
      </c>
      <c r="I62" s="3">
        <v>1</v>
      </c>
      <c r="J62" s="3">
        <v>135</v>
      </c>
      <c r="K62" s="3">
        <v>135</v>
      </c>
      <c r="L62" s="2" t="s">
        <v>16</v>
      </c>
      <c r="M62" s="3" t="s">
        <v>209</v>
      </c>
      <c r="N62" s="30" t="str">
        <f t="shared" si="0"/>
        <v>Single Order</v>
      </c>
      <c r="P62" s="27" t="s">
        <v>177</v>
      </c>
      <c r="Q62" s="34">
        <v>2</v>
      </c>
    </row>
    <row r="63" spans="1:18" x14ac:dyDescent="0.45">
      <c r="A63" s="2" t="s">
        <v>210</v>
      </c>
      <c r="B63" s="2" t="s">
        <v>211</v>
      </c>
      <c r="C63" s="2" t="s">
        <v>333</v>
      </c>
      <c r="D63" s="2" t="s">
        <v>336</v>
      </c>
      <c r="E63" s="2" t="s">
        <v>212</v>
      </c>
      <c r="F63" s="3">
        <v>9805929053</v>
      </c>
      <c r="G63" s="2" t="s">
        <v>110</v>
      </c>
      <c r="H63" s="2" t="s">
        <v>15</v>
      </c>
      <c r="I63" s="3">
        <v>7</v>
      </c>
      <c r="J63" s="3">
        <v>263</v>
      </c>
      <c r="K63" s="3">
        <v>1841</v>
      </c>
      <c r="L63" s="2" t="s">
        <v>60</v>
      </c>
      <c r="M63" s="4">
        <v>45481</v>
      </c>
      <c r="N63" s="30" t="str">
        <f t="shared" si="0"/>
        <v>Multiple Orders</v>
      </c>
      <c r="P63" s="27" t="s">
        <v>259</v>
      </c>
      <c r="Q63" s="34">
        <v>2</v>
      </c>
    </row>
    <row r="64" spans="1:18" x14ac:dyDescent="0.45">
      <c r="A64" s="2" t="s">
        <v>213</v>
      </c>
      <c r="B64" s="2" t="s">
        <v>122</v>
      </c>
      <c r="C64" s="2" t="s">
        <v>334</v>
      </c>
      <c r="D64" s="2" t="s">
        <v>338</v>
      </c>
      <c r="E64" s="2" t="s">
        <v>123</v>
      </c>
      <c r="F64" s="3">
        <v>9343290201</v>
      </c>
      <c r="G64" s="2" t="s">
        <v>40</v>
      </c>
      <c r="H64" s="2" t="s">
        <v>15</v>
      </c>
      <c r="I64" s="3">
        <v>3</v>
      </c>
      <c r="J64" s="3">
        <v>421</v>
      </c>
      <c r="K64" s="3">
        <v>1263</v>
      </c>
      <c r="L64" s="2" t="s">
        <v>35</v>
      </c>
      <c r="M64" s="3" t="s">
        <v>214</v>
      </c>
      <c r="N64" s="30" t="str">
        <f t="shared" si="0"/>
        <v>Multiple Orders</v>
      </c>
      <c r="P64" s="27" t="s">
        <v>105</v>
      </c>
      <c r="Q64" s="34">
        <v>2</v>
      </c>
    </row>
    <row r="65" spans="1:17" x14ac:dyDescent="0.45">
      <c r="A65" s="2" t="s">
        <v>215</v>
      </c>
      <c r="B65" s="2" t="s">
        <v>216</v>
      </c>
      <c r="C65" s="2" t="s">
        <v>334</v>
      </c>
      <c r="D65" s="2" t="s">
        <v>343</v>
      </c>
      <c r="E65" s="2" t="s">
        <v>217</v>
      </c>
      <c r="F65" s="3">
        <v>7070298438</v>
      </c>
      <c r="G65" s="2" t="s">
        <v>46</v>
      </c>
      <c r="H65" s="2" t="s">
        <v>15</v>
      </c>
      <c r="I65" s="3">
        <v>8</v>
      </c>
      <c r="J65" s="3">
        <v>78</v>
      </c>
      <c r="K65" s="3">
        <v>624</v>
      </c>
      <c r="L65" s="2" t="s">
        <v>41</v>
      </c>
      <c r="M65" s="3" t="s">
        <v>218</v>
      </c>
      <c r="N65" s="30" t="str">
        <f t="shared" si="0"/>
        <v>Single Order</v>
      </c>
      <c r="P65" s="27" t="s">
        <v>149</v>
      </c>
      <c r="Q65" s="34">
        <v>2</v>
      </c>
    </row>
    <row r="66" spans="1:17" x14ac:dyDescent="0.45">
      <c r="A66" s="2" t="s">
        <v>219</v>
      </c>
      <c r="B66" s="2" t="s">
        <v>220</v>
      </c>
      <c r="C66" s="2" t="s">
        <v>333</v>
      </c>
      <c r="D66" s="2" t="s">
        <v>344</v>
      </c>
      <c r="E66" s="2" t="s">
        <v>221</v>
      </c>
      <c r="F66" s="3">
        <v>9500426290</v>
      </c>
      <c r="G66" s="2" t="s">
        <v>25</v>
      </c>
      <c r="H66" s="2" t="s">
        <v>26</v>
      </c>
      <c r="I66" s="3">
        <v>9</v>
      </c>
      <c r="J66" s="3">
        <v>238</v>
      </c>
      <c r="K66" s="3">
        <v>2142</v>
      </c>
      <c r="L66" s="2" t="s">
        <v>35</v>
      </c>
      <c r="M66" s="3" t="s">
        <v>222</v>
      </c>
      <c r="N66" s="30" t="str">
        <f t="shared" si="0"/>
        <v>Single Order</v>
      </c>
      <c r="P66" s="27" t="s">
        <v>122</v>
      </c>
      <c r="Q66" s="34">
        <v>2</v>
      </c>
    </row>
    <row r="67" spans="1:17" x14ac:dyDescent="0.45">
      <c r="A67" s="2" t="s">
        <v>223</v>
      </c>
      <c r="B67" s="2" t="s">
        <v>224</v>
      </c>
      <c r="C67" s="2" t="s">
        <v>333</v>
      </c>
      <c r="D67" s="2" t="s">
        <v>341</v>
      </c>
      <c r="E67" s="2" t="s">
        <v>225</v>
      </c>
      <c r="F67" s="3">
        <v>9228856718</v>
      </c>
      <c r="G67" s="2" t="s">
        <v>55</v>
      </c>
      <c r="H67" s="2" t="s">
        <v>34</v>
      </c>
      <c r="I67" s="2">
        <v>5</v>
      </c>
      <c r="J67" s="3">
        <v>402</v>
      </c>
      <c r="K67" s="5" t="e">
        <v>#VALUE!</v>
      </c>
      <c r="L67" s="2" t="s">
        <v>60</v>
      </c>
      <c r="M67" s="3" t="s">
        <v>226</v>
      </c>
      <c r="N67" s="30" t="str">
        <f t="shared" ref="N67:N100" si="1">IF(COUNTIF($B$2:$B$100,B67)&gt;1,"Multiple Orders","Single Order")</f>
        <v>Single Order</v>
      </c>
      <c r="P67" s="27" t="s">
        <v>97</v>
      </c>
      <c r="Q67" s="34">
        <v>2</v>
      </c>
    </row>
    <row r="68" spans="1:17" x14ac:dyDescent="0.45">
      <c r="A68" s="2" t="s">
        <v>227</v>
      </c>
      <c r="B68" s="2" t="s">
        <v>228</v>
      </c>
      <c r="C68" s="2" t="s">
        <v>332</v>
      </c>
      <c r="D68" s="2" t="s">
        <v>342</v>
      </c>
      <c r="E68" s="2" t="s">
        <v>229</v>
      </c>
      <c r="F68" s="3">
        <v>6332788471</v>
      </c>
      <c r="G68" s="2" t="s">
        <v>14</v>
      </c>
      <c r="H68" s="2" t="s">
        <v>15</v>
      </c>
      <c r="I68" s="2">
        <v>5</v>
      </c>
      <c r="J68" s="3">
        <v>181</v>
      </c>
      <c r="K68" s="5" t="e">
        <v>#VALUE!</v>
      </c>
      <c r="L68" s="2" t="s">
        <v>16</v>
      </c>
      <c r="M68" s="3" t="s">
        <v>230</v>
      </c>
      <c r="N68" s="30" t="str">
        <f t="shared" si="1"/>
        <v>Multiple Orders</v>
      </c>
      <c r="P68" s="27" t="s">
        <v>31</v>
      </c>
      <c r="Q68" s="34">
        <v>2</v>
      </c>
    </row>
    <row r="69" spans="1:17" x14ac:dyDescent="0.45">
      <c r="A69" s="2" t="s">
        <v>231</v>
      </c>
      <c r="B69" s="2" t="s">
        <v>79</v>
      </c>
      <c r="C69" s="2" t="s">
        <v>329</v>
      </c>
      <c r="D69" s="2" t="s">
        <v>340</v>
      </c>
      <c r="E69" s="2" t="s">
        <v>80</v>
      </c>
      <c r="F69" s="3">
        <v>6993260504</v>
      </c>
      <c r="G69" s="2" t="s">
        <v>40</v>
      </c>
      <c r="H69" s="2" t="s">
        <v>34</v>
      </c>
      <c r="I69" s="3">
        <v>3</v>
      </c>
      <c r="J69" s="3">
        <v>371</v>
      </c>
      <c r="K69" s="3">
        <v>1113</v>
      </c>
      <c r="L69" s="2" t="s">
        <v>35</v>
      </c>
      <c r="M69" s="4">
        <v>45385</v>
      </c>
      <c r="N69" s="30" t="str">
        <f t="shared" si="1"/>
        <v>Multiple Orders</v>
      </c>
      <c r="P69" s="27" t="s">
        <v>170</v>
      </c>
      <c r="Q69" s="34">
        <v>2</v>
      </c>
    </row>
    <row r="70" spans="1:17" x14ac:dyDescent="0.45">
      <c r="A70" s="2" t="s">
        <v>232</v>
      </c>
      <c r="B70" s="2" t="s">
        <v>233</v>
      </c>
      <c r="C70" s="2" t="s">
        <v>330</v>
      </c>
      <c r="D70" s="2" t="s">
        <v>339</v>
      </c>
      <c r="E70" s="2" t="s">
        <v>234</v>
      </c>
      <c r="F70" s="3">
        <v>8330497115</v>
      </c>
      <c r="G70" s="2" t="s">
        <v>68</v>
      </c>
      <c r="H70" s="2" t="s">
        <v>15</v>
      </c>
      <c r="I70" s="3">
        <v>7</v>
      </c>
      <c r="J70" s="3">
        <v>41</v>
      </c>
      <c r="K70" s="3">
        <v>287</v>
      </c>
      <c r="L70" s="2" t="s">
        <v>35</v>
      </c>
      <c r="M70" s="3" t="s">
        <v>235</v>
      </c>
      <c r="N70" s="30" t="str">
        <f t="shared" si="1"/>
        <v>Single Order</v>
      </c>
      <c r="P70" s="27" t="s">
        <v>91</v>
      </c>
      <c r="Q70" s="34">
        <v>2</v>
      </c>
    </row>
    <row r="71" spans="1:17" x14ac:dyDescent="0.45">
      <c r="A71" s="2" t="s">
        <v>236</v>
      </c>
      <c r="B71" s="2" t="s">
        <v>145</v>
      </c>
      <c r="C71" s="2" t="s">
        <v>330</v>
      </c>
      <c r="D71" s="2" t="s">
        <v>344</v>
      </c>
      <c r="E71" s="2" t="s">
        <v>146</v>
      </c>
      <c r="F71" s="3">
        <v>8987248494</v>
      </c>
      <c r="G71" s="2" t="s">
        <v>20</v>
      </c>
      <c r="H71" s="2" t="s">
        <v>15</v>
      </c>
      <c r="I71" s="3">
        <v>10</v>
      </c>
      <c r="J71" s="3">
        <v>204</v>
      </c>
      <c r="K71" s="3">
        <v>2040</v>
      </c>
      <c r="L71" s="2" t="s">
        <v>41</v>
      </c>
      <c r="M71" s="4">
        <v>45505</v>
      </c>
      <c r="N71" s="30" t="str">
        <f t="shared" si="1"/>
        <v>Multiple Orders</v>
      </c>
      <c r="P71" s="27" t="s">
        <v>58</v>
      </c>
      <c r="Q71" s="34">
        <v>2</v>
      </c>
    </row>
    <row r="72" spans="1:17" x14ac:dyDescent="0.45">
      <c r="A72" s="2" t="s">
        <v>237</v>
      </c>
      <c r="B72" s="2" t="s">
        <v>105</v>
      </c>
      <c r="C72" s="2" t="s">
        <v>332</v>
      </c>
      <c r="D72" s="2" t="s">
        <v>336</v>
      </c>
      <c r="E72" s="2" t="s">
        <v>106</v>
      </c>
      <c r="F72" s="3">
        <v>9665531029</v>
      </c>
      <c r="G72" s="2" t="s">
        <v>40</v>
      </c>
      <c r="H72" s="2" t="s">
        <v>34</v>
      </c>
      <c r="I72" s="3">
        <v>9</v>
      </c>
      <c r="J72" s="3">
        <v>419</v>
      </c>
      <c r="K72" s="3">
        <v>3771</v>
      </c>
      <c r="L72" s="2" t="s">
        <v>35</v>
      </c>
      <c r="M72" s="4">
        <v>45573</v>
      </c>
      <c r="N72" s="30" t="str">
        <f t="shared" si="1"/>
        <v>Multiple Orders</v>
      </c>
      <c r="P72" s="27" t="s">
        <v>211</v>
      </c>
      <c r="Q72" s="34">
        <v>2</v>
      </c>
    </row>
    <row r="73" spans="1:17" x14ac:dyDescent="0.45">
      <c r="A73" s="2" t="s">
        <v>238</v>
      </c>
      <c r="B73" s="2" t="s">
        <v>149</v>
      </c>
      <c r="C73" s="2" t="s">
        <v>335</v>
      </c>
      <c r="D73" s="2" t="s">
        <v>341</v>
      </c>
      <c r="E73" s="2" t="s">
        <v>150</v>
      </c>
      <c r="F73" s="3">
        <v>7871901278</v>
      </c>
      <c r="G73" s="2" t="s">
        <v>68</v>
      </c>
      <c r="H73" s="2" t="s">
        <v>15</v>
      </c>
      <c r="I73" s="3">
        <v>1</v>
      </c>
      <c r="J73" s="3">
        <v>209</v>
      </c>
      <c r="K73" s="3">
        <v>209</v>
      </c>
      <c r="L73" s="2" t="s">
        <v>35</v>
      </c>
      <c r="M73" s="3" t="s">
        <v>239</v>
      </c>
      <c r="N73" s="30" t="str">
        <f t="shared" si="1"/>
        <v>Multiple Orders</v>
      </c>
      <c r="P73" s="27" t="s">
        <v>28</v>
      </c>
      <c r="Q73" s="34">
        <v>2</v>
      </c>
    </row>
    <row r="74" spans="1:17" x14ac:dyDescent="0.45">
      <c r="A74" s="2" t="s">
        <v>240</v>
      </c>
      <c r="B74" s="2" t="s">
        <v>241</v>
      </c>
      <c r="C74" s="2" t="s">
        <v>329</v>
      </c>
      <c r="D74" s="2" t="s">
        <v>342</v>
      </c>
      <c r="E74" s="2" t="s">
        <v>242</v>
      </c>
      <c r="F74" s="3">
        <v>9949401194</v>
      </c>
      <c r="G74" s="2" t="s">
        <v>95</v>
      </c>
      <c r="H74" s="2" t="s">
        <v>15</v>
      </c>
      <c r="I74" s="3">
        <v>10</v>
      </c>
      <c r="J74" s="3">
        <v>283</v>
      </c>
      <c r="K74" s="3">
        <v>2830</v>
      </c>
      <c r="L74" s="2" t="s">
        <v>16</v>
      </c>
      <c r="M74" s="3" t="s">
        <v>243</v>
      </c>
      <c r="N74" s="30" t="str">
        <f t="shared" si="1"/>
        <v>Multiple Orders</v>
      </c>
      <c r="P74" s="27" t="s">
        <v>101</v>
      </c>
      <c r="Q74" s="34">
        <v>2</v>
      </c>
    </row>
    <row r="75" spans="1:17" x14ac:dyDescent="0.45">
      <c r="A75" s="2" t="s">
        <v>244</v>
      </c>
      <c r="B75" s="2" t="s">
        <v>245</v>
      </c>
      <c r="C75" s="2" t="s">
        <v>325</v>
      </c>
      <c r="D75" s="2" t="s">
        <v>336</v>
      </c>
      <c r="E75" s="2" t="s">
        <v>246</v>
      </c>
      <c r="F75" s="3">
        <v>6582824840</v>
      </c>
      <c r="G75" s="2" t="s">
        <v>68</v>
      </c>
      <c r="H75" s="2" t="s">
        <v>15</v>
      </c>
      <c r="I75" s="3">
        <v>3</v>
      </c>
      <c r="J75" s="3">
        <v>35</v>
      </c>
      <c r="K75" s="3">
        <v>105</v>
      </c>
      <c r="L75" s="2" t="s">
        <v>41</v>
      </c>
      <c r="M75" s="3" t="s">
        <v>247</v>
      </c>
      <c r="N75" s="30" t="str">
        <f t="shared" si="1"/>
        <v>Single Order</v>
      </c>
      <c r="P75" s="27" t="s">
        <v>181</v>
      </c>
      <c r="Q75" s="34">
        <v>2</v>
      </c>
    </row>
    <row r="76" spans="1:17" x14ac:dyDescent="0.45">
      <c r="A76" s="2" t="s">
        <v>248</v>
      </c>
      <c r="B76" s="2" t="s">
        <v>249</v>
      </c>
      <c r="C76" s="2" t="s">
        <v>335</v>
      </c>
      <c r="D76" s="2" t="s">
        <v>342</v>
      </c>
      <c r="E76" s="2" t="s">
        <v>250</v>
      </c>
      <c r="F76" s="3">
        <v>7403792057</v>
      </c>
      <c r="G76" s="2" t="s">
        <v>33</v>
      </c>
      <c r="H76" s="2" t="s">
        <v>26</v>
      </c>
      <c r="I76" s="2">
        <v>5</v>
      </c>
      <c r="J76" s="3">
        <v>395</v>
      </c>
      <c r="K76" s="5" t="e">
        <v>#VALUE!</v>
      </c>
      <c r="L76" s="2" t="s">
        <v>16</v>
      </c>
      <c r="M76" s="4">
        <v>45482</v>
      </c>
      <c r="N76" s="30" t="str">
        <f t="shared" si="1"/>
        <v>Single Order</v>
      </c>
      <c r="P76" s="27" t="s">
        <v>79</v>
      </c>
      <c r="Q76" s="34">
        <v>2</v>
      </c>
    </row>
    <row r="77" spans="1:17" x14ac:dyDescent="0.45">
      <c r="A77" s="2" t="s">
        <v>251</v>
      </c>
      <c r="B77" s="2" t="s">
        <v>97</v>
      </c>
      <c r="C77" s="2" t="s">
        <v>333</v>
      </c>
      <c r="D77" s="2" t="s">
        <v>326</v>
      </c>
      <c r="E77" s="2" t="s">
        <v>98</v>
      </c>
      <c r="F77" s="3">
        <v>9217034696</v>
      </c>
      <c r="G77" s="2" t="s">
        <v>25</v>
      </c>
      <c r="H77" s="2" t="s">
        <v>15</v>
      </c>
      <c r="I77" s="3">
        <v>6</v>
      </c>
      <c r="J77" s="3">
        <v>124</v>
      </c>
      <c r="K77" s="3">
        <v>744</v>
      </c>
      <c r="L77" s="2" t="s">
        <v>16</v>
      </c>
      <c r="M77" s="4">
        <v>45599</v>
      </c>
      <c r="N77" s="30" t="str">
        <f t="shared" si="1"/>
        <v>Multiple Orders</v>
      </c>
      <c r="P77" s="27" t="s">
        <v>18</v>
      </c>
      <c r="Q77" s="34">
        <v>1</v>
      </c>
    </row>
    <row r="78" spans="1:17" x14ac:dyDescent="0.45">
      <c r="A78" s="2" t="s">
        <v>252</v>
      </c>
      <c r="B78" s="2" t="s">
        <v>112</v>
      </c>
      <c r="C78" s="2" t="s">
        <v>334</v>
      </c>
      <c r="D78" s="2" t="s">
        <v>337</v>
      </c>
      <c r="E78" s="2" t="s">
        <v>113</v>
      </c>
      <c r="F78" s="3">
        <v>6856247605</v>
      </c>
      <c r="G78" s="2" t="s">
        <v>20</v>
      </c>
      <c r="H78" s="2" t="s">
        <v>15</v>
      </c>
      <c r="I78" s="3">
        <v>10</v>
      </c>
      <c r="J78" s="3">
        <v>88</v>
      </c>
      <c r="K78" s="3">
        <v>880</v>
      </c>
      <c r="L78" s="2" t="s">
        <v>35</v>
      </c>
      <c r="M78" s="4">
        <v>45387</v>
      </c>
      <c r="N78" s="30" t="str">
        <f t="shared" si="1"/>
        <v>Multiple Orders</v>
      </c>
      <c r="P78" s="27" t="s">
        <v>274</v>
      </c>
      <c r="Q78" s="34">
        <v>1</v>
      </c>
    </row>
    <row r="79" spans="1:17" x14ac:dyDescent="0.45">
      <c r="A79" s="2" t="s">
        <v>253</v>
      </c>
      <c r="B79" s="2" t="s">
        <v>187</v>
      </c>
      <c r="C79" s="2" t="s">
        <v>325</v>
      </c>
      <c r="D79" s="2" t="s">
        <v>344</v>
      </c>
      <c r="E79" s="2" t="s">
        <v>188</v>
      </c>
      <c r="F79" s="3">
        <v>6936150587</v>
      </c>
      <c r="G79" s="2" t="s">
        <v>68</v>
      </c>
      <c r="H79" s="2" t="s">
        <v>15</v>
      </c>
      <c r="I79" s="2">
        <v>5</v>
      </c>
      <c r="J79" s="3">
        <v>402</v>
      </c>
      <c r="K79" s="5" t="e">
        <v>#VALUE!</v>
      </c>
      <c r="L79" s="2" t="s">
        <v>16</v>
      </c>
      <c r="M79" s="4">
        <v>45449</v>
      </c>
      <c r="N79" s="30" t="str">
        <f t="shared" si="1"/>
        <v>Multiple Orders</v>
      </c>
      <c r="P79" s="27" t="s">
        <v>233</v>
      </c>
      <c r="Q79" s="34">
        <v>1</v>
      </c>
    </row>
    <row r="80" spans="1:17" x14ac:dyDescent="0.45">
      <c r="A80" s="2" t="s">
        <v>254</v>
      </c>
      <c r="B80" s="2" t="s">
        <v>255</v>
      </c>
      <c r="C80" s="2" t="s">
        <v>329</v>
      </c>
      <c r="D80" s="2" t="s">
        <v>341</v>
      </c>
      <c r="E80" s="2" t="s">
        <v>256</v>
      </c>
      <c r="F80" s="3">
        <v>6464280597</v>
      </c>
      <c r="G80" s="2" t="s">
        <v>110</v>
      </c>
      <c r="H80" s="2" t="s">
        <v>15</v>
      </c>
      <c r="I80" s="2">
        <v>5</v>
      </c>
      <c r="J80" s="3">
        <v>304</v>
      </c>
      <c r="K80" s="5" t="e">
        <v>#VALUE!</v>
      </c>
      <c r="L80" s="2" t="s">
        <v>35</v>
      </c>
      <c r="M80" s="3" t="s">
        <v>257</v>
      </c>
      <c r="N80" s="30" t="str">
        <f t="shared" si="1"/>
        <v>Single Order</v>
      </c>
      <c r="P80" s="27" t="s">
        <v>220</v>
      </c>
      <c r="Q80" s="34">
        <v>1</v>
      </c>
    </row>
    <row r="81" spans="1:17" x14ac:dyDescent="0.45">
      <c r="A81" s="2" t="s">
        <v>258</v>
      </c>
      <c r="B81" s="2" t="s">
        <v>259</v>
      </c>
      <c r="C81" s="2" t="s">
        <v>335</v>
      </c>
      <c r="D81" s="2" t="s">
        <v>338</v>
      </c>
      <c r="E81" s="2" t="s">
        <v>260</v>
      </c>
      <c r="F81" s="3">
        <v>8543040948</v>
      </c>
      <c r="G81" s="2" t="s">
        <v>55</v>
      </c>
      <c r="H81" s="2" t="s">
        <v>15</v>
      </c>
      <c r="I81" s="2">
        <v>5</v>
      </c>
      <c r="J81" s="3">
        <v>445</v>
      </c>
      <c r="K81" s="5" t="e">
        <v>#VALUE!</v>
      </c>
      <c r="L81" s="2" t="s">
        <v>16</v>
      </c>
      <c r="M81" s="3" t="s">
        <v>42</v>
      </c>
      <c r="N81" s="30" t="str">
        <f t="shared" si="1"/>
        <v>Multiple Orders</v>
      </c>
      <c r="P81" s="27" t="s">
        <v>115</v>
      </c>
      <c r="Q81" s="34">
        <v>1</v>
      </c>
    </row>
    <row r="82" spans="1:17" x14ac:dyDescent="0.45">
      <c r="A82" s="2" t="s">
        <v>261</v>
      </c>
      <c r="B82" s="2" t="s">
        <v>262</v>
      </c>
      <c r="C82" s="2" t="s">
        <v>327</v>
      </c>
      <c r="D82" s="2" t="s">
        <v>326</v>
      </c>
      <c r="E82" s="2" t="s">
        <v>263</v>
      </c>
      <c r="F82" s="3">
        <v>7491228808</v>
      </c>
      <c r="G82" s="2" t="s">
        <v>25</v>
      </c>
      <c r="H82" s="2" t="s">
        <v>26</v>
      </c>
      <c r="I82" s="3">
        <v>6</v>
      </c>
      <c r="J82" s="3">
        <v>45</v>
      </c>
      <c r="K82" s="3">
        <v>270</v>
      </c>
      <c r="L82" s="2" t="s">
        <v>41</v>
      </c>
      <c r="M82" s="3" t="s">
        <v>264</v>
      </c>
      <c r="N82" s="30" t="str">
        <f t="shared" si="1"/>
        <v>Single Order</v>
      </c>
      <c r="P82" s="27" t="s">
        <v>289</v>
      </c>
      <c r="Q82" s="34">
        <v>1</v>
      </c>
    </row>
    <row r="83" spans="1:17" x14ac:dyDescent="0.45">
      <c r="A83" s="2" t="s">
        <v>265</v>
      </c>
      <c r="B83" s="2" t="s">
        <v>266</v>
      </c>
      <c r="C83" s="2" t="s">
        <v>334</v>
      </c>
      <c r="D83" s="2" t="s">
        <v>336</v>
      </c>
      <c r="E83" s="2" t="s">
        <v>267</v>
      </c>
      <c r="F83" s="3">
        <v>9531884396</v>
      </c>
      <c r="G83" s="2" t="s">
        <v>68</v>
      </c>
      <c r="H83" s="2" t="s">
        <v>15</v>
      </c>
      <c r="I83" s="3">
        <v>2</v>
      </c>
      <c r="J83" s="3">
        <v>231</v>
      </c>
      <c r="K83" s="3">
        <v>462</v>
      </c>
      <c r="L83" s="2" t="s">
        <v>35</v>
      </c>
      <c r="M83" s="3" t="s">
        <v>268</v>
      </c>
      <c r="N83" s="30" t="str">
        <f t="shared" si="1"/>
        <v>Single Order</v>
      </c>
      <c r="P83" s="27" t="s">
        <v>132</v>
      </c>
      <c r="Q83" s="34">
        <v>1</v>
      </c>
    </row>
    <row r="84" spans="1:17" x14ac:dyDescent="0.45">
      <c r="A84" s="2" t="s">
        <v>269</v>
      </c>
      <c r="B84" s="2" t="s">
        <v>28</v>
      </c>
      <c r="C84" s="2" t="s">
        <v>329</v>
      </c>
      <c r="D84" s="2" t="s">
        <v>336</v>
      </c>
      <c r="E84" s="2" t="s">
        <v>29</v>
      </c>
      <c r="F84" s="3">
        <v>6756502473</v>
      </c>
      <c r="G84" s="2" t="s">
        <v>25</v>
      </c>
      <c r="H84" s="2" t="s">
        <v>34</v>
      </c>
      <c r="I84" s="2">
        <v>5</v>
      </c>
      <c r="J84" s="3">
        <v>325</v>
      </c>
      <c r="K84" s="5" t="e">
        <v>#VALUE!</v>
      </c>
      <c r="L84" s="2" t="s">
        <v>35</v>
      </c>
      <c r="M84" s="3" t="s">
        <v>85</v>
      </c>
      <c r="N84" s="30" t="str">
        <f t="shared" si="1"/>
        <v>Multiple Orders</v>
      </c>
      <c r="P84" s="27" t="s">
        <v>255</v>
      </c>
      <c r="Q84" s="34">
        <v>1</v>
      </c>
    </row>
    <row r="85" spans="1:17" x14ac:dyDescent="0.45">
      <c r="A85" s="2" t="s">
        <v>270</v>
      </c>
      <c r="B85" s="2" t="s">
        <v>211</v>
      </c>
      <c r="C85" s="2" t="s">
        <v>333</v>
      </c>
      <c r="D85" s="2" t="s">
        <v>336</v>
      </c>
      <c r="E85" s="2" t="s">
        <v>212</v>
      </c>
      <c r="F85" s="3">
        <v>9546503094</v>
      </c>
      <c r="G85" s="2" t="s">
        <v>110</v>
      </c>
      <c r="H85" s="2" t="s">
        <v>26</v>
      </c>
      <c r="I85" s="3">
        <v>6</v>
      </c>
      <c r="J85" s="3">
        <v>446</v>
      </c>
      <c r="K85" s="3">
        <v>2676</v>
      </c>
      <c r="L85" s="2" t="s">
        <v>16</v>
      </c>
      <c r="M85" s="3" t="s">
        <v>235</v>
      </c>
      <c r="N85" s="30" t="str">
        <f t="shared" si="1"/>
        <v>Multiple Orders</v>
      </c>
      <c r="P85" s="27" t="s">
        <v>249</v>
      </c>
      <c r="Q85" s="34">
        <v>1</v>
      </c>
    </row>
    <row r="86" spans="1:17" x14ac:dyDescent="0.45">
      <c r="A86" s="2" t="s">
        <v>271</v>
      </c>
      <c r="B86" s="2" t="s">
        <v>228</v>
      </c>
      <c r="C86" s="2" t="s">
        <v>332</v>
      </c>
      <c r="D86" s="2" t="s">
        <v>342</v>
      </c>
      <c r="E86" s="2" t="s">
        <v>229</v>
      </c>
      <c r="F86" s="3">
        <v>7047385483</v>
      </c>
      <c r="G86" s="2" t="s">
        <v>68</v>
      </c>
      <c r="H86" s="2" t="s">
        <v>15</v>
      </c>
      <c r="I86" s="3">
        <v>10</v>
      </c>
      <c r="J86" s="3">
        <v>322</v>
      </c>
      <c r="K86" s="3">
        <v>3220</v>
      </c>
      <c r="L86" s="2" t="s">
        <v>41</v>
      </c>
      <c r="M86" s="3" t="s">
        <v>257</v>
      </c>
      <c r="N86" s="30" t="str">
        <f t="shared" si="1"/>
        <v>Multiple Orders</v>
      </c>
      <c r="P86" s="27" t="s">
        <v>245</v>
      </c>
      <c r="Q86" s="34">
        <v>1</v>
      </c>
    </row>
    <row r="87" spans="1:17" x14ac:dyDescent="0.45">
      <c r="A87" s="2" t="s">
        <v>272</v>
      </c>
      <c r="B87" s="2" t="s">
        <v>153</v>
      </c>
      <c r="C87" s="2" t="s">
        <v>334</v>
      </c>
      <c r="D87" s="2" t="s">
        <v>342</v>
      </c>
      <c r="E87" s="2" t="s">
        <v>154</v>
      </c>
      <c r="F87" s="3">
        <v>9654814605</v>
      </c>
      <c r="G87" s="2" t="s">
        <v>33</v>
      </c>
      <c r="H87" s="2" t="s">
        <v>15</v>
      </c>
      <c r="I87" s="3">
        <v>8</v>
      </c>
      <c r="J87" s="3">
        <v>118</v>
      </c>
      <c r="K87" s="3">
        <v>944</v>
      </c>
      <c r="L87" s="2" t="s">
        <v>41</v>
      </c>
      <c r="M87" s="3" t="s">
        <v>172</v>
      </c>
      <c r="N87" s="30" t="str">
        <f t="shared" si="1"/>
        <v>Multiple Orders</v>
      </c>
      <c r="P87" s="27" t="s">
        <v>63</v>
      </c>
      <c r="Q87" s="34">
        <v>1</v>
      </c>
    </row>
    <row r="88" spans="1:17" x14ac:dyDescent="0.45">
      <c r="A88" s="2" t="s">
        <v>273</v>
      </c>
      <c r="B88" s="2" t="s">
        <v>274</v>
      </c>
      <c r="C88" s="2" t="s">
        <v>331</v>
      </c>
      <c r="D88" s="2" t="s">
        <v>341</v>
      </c>
      <c r="E88" s="2" t="s">
        <v>275</v>
      </c>
      <c r="F88" s="3">
        <v>9780945510</v>
      </c>
      <c r="G88" s="2" t="s">
        <v>110</v>
      </c>
      <c r="H88" s="2" t="s">
        <v>34</v>
      </c>
      <c r="I88" s="2">
        <v>5</v>
      </c>
      <c r="J88" s="3">
        <v>294</v>
      </c>
      <c r="K88" s="5" t="e">
        <v>#VALUE!</v>
      </c>
      <c r="L88" s="2" t="s">
        <v>60</v>
      </c>
      <c r="M88" s="3" t="s">
        <v>276</v>
      </c>
      <c r="N88" s="30" t="str">
        <f t="shared" si="1"/>
        <v>Single Order</v>
      </c>
      <c r="P88" s="27" t="s">
        <v>12</v>
      </c>
      <c r="Q88" s="34">
        <v>1</v>
      </c>
    </row>
    <row r="89" spans="1:17" x14ac:dyDescent="0.45">
      <c r="A89" s="2" t="s">
        <v>277</v>
      </c>
      <c r="B89" s="2" t="s">
        <v>49</v>
      </c>
      <c r="C89" s="2" t="s">
        <v>325</v>
      </c>
      <c r="D89" s="2" t="s">
        <v>337</v>
      </c>
      <c r="E89" s="2" t="s">
        <v>50</v>
      </c>
      <c r="F89" s="3">
        <v>9092697141</v>
      </c>
      <c r="G89" s="2" t="s">
        <v>40</v>
      </c>
      <c r="H89" s="2" t="s">
        <v>26</v>
      </c>
      <c r="I89" s="3">
        <v>9</v>
      </c>
      <c r="J89" s="3">
        <v>398</v>
      </c>
      <c r="K89" s="3">
        <v>3582</v>
      </c>
      <c r="L89" s="2" t="s">
        <v>35</v>
      </c>
      <c r="M89" s="3" t="s">
        <v>278</v>
      </c>
      <c r="N89" s="30" t="str">
        <f t="shared" si="1"/>
        <v>Multiple Orders</v>
      </c>
      <c r="P89" s="27" t="s">
        <v>158</v>
      </c>
      <c r="Q89" s="34">
        <v>1</v>
      </c>
    </row>
    <row r="90" spans="1:17" x14ac:dyDescent="0.45">
      <c r="A90" s="2" t="s">
        <v>279</v>
      </c>
      <c r="B90" s="2" t="s">
        <v>200</v>
      </c>
      <c r="C90" s="2" t="s">
        <v>333</v>
      </c>
      <c r="D90" s="2" t="s">
        <v>342</v>
      </c>
      <c r="E90" s="2" t="s">
        <v>201</v>
      </c>
      <c r="F90" s="3">
        <v>9405620755</v>
      </c>
      <c r="G90" s="2" t="s">
        <v>20</v>
      </c>
      <c r="H90" s="2" t="s">
        <v>15</v>
      </c>
      <c r="I90" s="3">
        <v>2</v>
      </c>
      <c r="J90" s="3">
        <v>160</v>
      </c>
      <c r="K90" s="3">
        <v>320</v>
      </c>
      <c r="L90" s="2" t="s">
        <v>60</v>
      </c>
      <c r="M90" s="3" t="s">
        <v>280</v>
      </c>
      <c r="N90" s="30" t="str">
        <f t="shared" si="1"/>
        <v>Multiple Orders</v>
      </c>
      <c r="P90" s="27" t="s">
        <v>135</v>
      </c>
      <c r="Q90" s="34">
        <v>1</v>
      </c>
    </row>
    <row r="91" spans="1:17" x14ac:dyDescent="0.45">
      <c r="A91" s="2" t="s">
        <v>281</v>
      </c>
      <c r="B91" s="2" t="s">
        <v>282</v>
      </c>
      <c r="C91" s="2" t="s">
        <v>332</v>
      </c>
      <c r="D91" s="2" t="s">
        <v>344</v>
      </c>
      <c r="E91" s="2" t="s">
        <v>283</v>
      </c>
      <c r="F91" s="3">
        <v>7584930775</v>
      </c>
      <c r="G91" s="2" t="s">
        <v>68</v>
      </c>
      <c r="H91" s="2" t="s">
        <v>15</v>
      </c>
      <c r="I91" s="3">
        <v>9</v>
      </c>
      <c r="J91" s="3">
        <v>281</v>
      </c>
      <c r="K91" s="3">
        <v>2529</v>
      </c>
      <c r="L91" s="2" t="s">
        <v>41</v>
      </c>
      <c r="M91" s="3" t="s">
        <v>284</v>
      </c>
      <c r="N91" s="30" t="str">
        <f t="shared" si="1"/>
        <v>Single Order</v>
      </c>
      <c r="P91" s="27" t="s">
        <v>282</v>
      </c>
      <c r="Q91" s="34">
        <v>1</v>
      </c>
    </row>
    <row r="92" spans="1:17" x14ac:dyDescent="0.45">
      <c r="A92" s="2" t="s">
        <v>285</v>
      </c>
      <c r="B92" s="2" t="s">
        <v>286</v>
      </c>
      <c r="C92" s="2" t="s">
        <v>331</v>
      </c>
      <c r="D92" s="2" t="s">
        <v>342</v>
      </c>
      <c r="E92" s="2" t="s">
        <v>287</v>
      </c>
      <c r="F92" s="3">
        <v>7163577186</v>
      </c>
      <c r="G92" s="2" t="s">
        <v>14</v>
      </c>
      <c r="H92" s="2" t="s">
        <v>26</v>
      </c>
      <c r="I92" s="3">
        <v>4</v>
      </c>
      <c r="J92" s="3">
        <v>71</v>
      </c>
      <c r="K92" s="3">
        <v>284</v>
      </c>
      <c r="L92" s="2" t="s">
        <v>41</v>
      </c>
      <c r="M92" s="4">
        <v>45633</v>
      </c>
      <c r="N92" s="30" t="str">
        <f t="shared" si="1"/>
        <v>Single Order</v>
      </c>
      <c r="P92" s="27" t="s">
        <v>184</v>
      </c>
      <c r="Q92" s="34">
        <v>1</v>
      </c>
    </row>
    <row r="93" spans="1:17" x14ac:dyDescent="0.45">
      <c r="A93" s="2" t="s">
        <v>288</v>
      </c>
      <c r="B93" s="2" t="s">
        <v>289</v>
      </c>
      <c r="C93" s="2" t="s">
        <v>325</v>
      </c>
      <c r="D93" s="2" t="s">
        <v>343</v>
      </c>
      <c r="E93" s="2" t="s">
        <v>290</v>
      </c>
      <c r="F93" s="3">
        <v>9273579452</v>
      </c>
      <c r="G93" s="2" t="s">
        <v>95</v>
      </c>
      <c r="H93" s="2" t="s">
        <v>15</v>
      </c>
      <c r="I93" s="3">
        <v>4</v>
      </c>
      <c r="J93" s="3">
        <v>120</v>
      </c>
      <c r="K93" s="3">
        <v>480</v>
      </c>
      <c r="L93" s="2" t="s">
        <v>41</v>
      </c>
      <c r="M93" s="3" t="s">
        <v>291</v>
      </c>
      <c r="N93" s="30" t="str">
        <f t="shared" si="1"/>
        <v>Single Order</v>
      </c>
      <c r="P93" s="27" t="s">
        <v>71</v>
      </c>
      <c r="Q93" s="34">
        <v>1</v>
      </c>
    </row>
    <row r="94" spans="1:17" ht="26.25" x14ac:dyDescent="0.45">
      <c r="A94" s="2" t="s">
        <v>292</v>
      </c>
      <c r="B94" s="2" t="s">
        <v>170</v>
      </c>
      <c r="C94" s="2" t="s">
        <v>327</v>
      </c>
      <c r="D94" s="2" t="s">
        <v>343</v>
      </c>
      <c r="E94" s="2" t="s">
        <v>171</v>
      </c>
      <c r="F94" s="3">
        <v>8563196714</v>
      </c>
      <c r="G94" s="2" t="s">
        <v>14</v>
      </c>
      <c r="H94" s="2" t="s">
        <v>15</v>
      </c>
      <c r="I94" s="3">
        <v>4</v>
      </c>
      <c r="J94" s="3">
        <v>161</v>
      </c>
      <c r="K94" s="3">
        <v>644</v>
      </c>
      <c r="L94" s="2" t="s">
        <v>60</v>
      </c>
      <c r="M94" s="4">
        <v>45394</v>
      </c>
      <c r="N94" s="30" t="str">
        <f t="shared" si="1"/>
        <v>Multiple Orders</v>
      </c>
      <c r="P94" s="27" t="s">
        <v>108</v>
      </c>
      <c r="Q94" s="34">
        <v>1</v>
      </c>
    </row>
    <row r="95" spans="1:17" x14ac:dyDescent="0.45">
      <c r="A95" s="2" t="s">
        <v>293</v>
      </c>
      <c r="B95" s="2" t="s">
        <v>162</v>
      </c>
      <c r="C95" s="2" t="s">
        <v>332</v>
      </c>
      <c r="D95" s="2" t="s">
        <v>326</v>
      </c>
      <c r="E95" s="2" t="s">
        <v>163</v>
      </c>
      <c r="F95" s="3">
        <v>9040916238</v>
      </c>
      <c r="G95" s="2" t="s">
        <v>25</v>
      </c>
      <c r="H95" s="2" t="s">
        <v>15</v>
      </c>
      <c r="I95" s="2">
        <v>5</v>
      </c>
      <c r="J95" s="3">
        <v>33</v>
      </c>
      <c r="K95" s="5" t="e">
        <v>#VALUE!</v>
      </c>
      <c r="L95" s="2" t="s">
        <v>41</v>
      </c>
      <c r="M95" s="3" t="s">
        <v>294</v>
      </c>
      <c r="N95" s="30" t="str">
        <f t="shared" si="1"/>
        <v>Multiple Orders</v>
      </c>
      <c r="P95" s="27" t="s">
        <v>298</v>
      </c>
      <c r="Q95" s="34">
        <v>1</v>
      </c>
    </row>
    <row r="96" spans="1:17" x14ac:dyDescent="0.45">
      <c r="A96" s="2" t="s">
        <v>295</v>
      </c>
      <c r="B96" s="2" t="s">
        <v>241</v>
      </c>
      <c r="C96" s="2" t="s">
        <v>329</v>
      </c>
      <c r="D96" s="2" t="s">
        <v>342</v>
      </c>
      <c r="E96" s="2" t="s">
        <v>242</v>
      </c>
      <c r="F96" s="3">
        <v>6440610570</v>
      </c>
      <c r="G96" s="2" t="s">
        <v>20</v>
      </c>
      <c r="H96" s="2" t="s">
        <v>15</v>
      </c>
      <c r="I96" s="3">
        <v>10</v>
      </c>
      <c r="J96" s="3">
        <v>155</v>
      </c>
      <c r="K96" s="3">
        <v>1550</v>
      </c>
      <c r="L96" s="2" t="s">
        <v>35</v>
      </c>
      <c r="M96" s="3" t="s">
        <v>296</v>
      </c>
      <c r="N96" s="30" t="str">
        <f t="shared" si="1"/>
        <v>Multiple Orders</v>
      </c>
      <c r="P96" s="27" t="s">
        <v>216</v>
      </c>
      <c r="Q96" s="34">
        <v>1</v>
      </c>
    </row>
    <row r="97" spans="1:17" x14ac:dyDescent="0.45">
      <c r="A97" s="2" t="s">
        <v>297</v>
      </c>
      <c r="B97" s="2" t="s">
        <v>298</v>
      </c>
      <c r="C97" s="2" t="s">
        <v>331</v>
      </c>
      <c r="D97" s="2" t="s">
        <v>340</v>
      </c>
      <c r="E97" s="2" t="s">
        <v>299</v>
      </c>
      <c r="F97" s="3">
        <v>6220661337</v>
      </c>
      <c r="G97" s="2" t="s">
        <v>14</v>
      </c>
      <c r="H97" s="2" t="s">
        <v>26</v>
      </c>
      <c r="I97" s="3">
        <v>2</v>
      </c>
      <c r="J97" s="3">
        <v>430</v>
      </c>
      <c r="K97" s="3">
        <v>860</v>
      </c>
      <c r="L97" s="2" t="s">
        <v>35</v>
      </c>
      <c r="M97" s="3" t="s">
        <v>300</v>
      </c>
      <c r="N97" s="30" t="str">
        <f t="shared" si="1"/>
        <v>Single Order</v>
      </c>
      <c r="P97" s="27" t="s">
        <v>87</v>
      </c>
      <c r="Q97" s="34">
        <v>1</v>
      </c>
    </row>
    <row r="98" spans="1:17" x14ac:dyDescent="0.45">
      <c r="A98" s="2" t="s">
        <v>301</v>
      </c>
      <c r="B98" s="2" t="s">
        <v>187</v>
      </c>
      <c r="C98" s="2" t="s">
        <v>325</v>
      </c>
      <c r="D98" s="2" t="s">
        <v>344</v>
      </c>
      <c r="E98" s="2" t="s">
        <v>188</v>
      </c>
      <c r="F98" s="3">
        <v>8703448716</v>
      </c>
      <c r="G98" s="2" t="s">
        <v>20</v>
      </c>
      <c r="H98" s="2" t="s">
        <v>15</v>
      </c>
      <c r="I98" s="3">
        <v>3</v>
      </c>
      <c r="J98" s="3">
        <v>86</v>
      </c>
      <c r="K98" s="3">
        <v>258</v>
      </c>
      <c r="L98" s="2" t="s">
        <v>16</v>
      </c>
      <c r="M98" s="4">
        <v>45575</v>
      </c>
      <c r="N98" s="30" t="str">
        <f t="shared" si="1"/>
        <v>Multiple Orders</v>
      </c>
      <c r="P98" s="27" t="s">
        <v>125</v>
      </c>
      <c r="Q98" s="34">
        <v>1</v>
      </c>
    </row>
    <row r="99" spans="1:17" x14ac:dyDescent="0.45">
      <c r="A99" s="2" t="s">
        <v>302</v>
      </c>
      <c r="B99" s="2" t="s">
        <v>259</v>
      </c>
      <c r="C99" s="2" t="s">
        <v>335</v>
      </c>
      <c r="D99" s="2" t="s">
        <v>338</v>
      </c>
      <c r="E99" s="2" t="s">
        <v>260</v>
      </c>
      <c r="F99" s="3">
        <v>8396905421</v>
      </c>
      <c r="G99" s="2" t="s">
        <v>40</v>
      </c>
      <c r="H99" s="2" t="s">
        <v>34</v>
      </c>
      <c r="I99" s="3">
        <v>10</v>
      </c>
      <c r="J99" s="3">
        <v>414</v>
      </c>
      <c r="K99" s="3">
        <v>4140</v>
      </c>
      <c r="L99" s="2" t="s">
        <v>35</v>
      </c>
      <c r="M99" s="4">
        <v>45573</v>
      </c>
      <c r="N99" s="30" t="str">
        <f t="shared" si="1"/>
        <v>Multiple Orders</v>
      </c>
      <c r="P99" s="27" t="s">
        <v>23</v>
      </c>
      <c r="Q99" s="34">
        <v>1</v>
      </c>
    </row>
    <row r="100" spans="1:17" x14ac:dyDescent="0.45">
      <c r="A100" s="2" t="s">
        <v>303</v>
      </c>
      <c r="B100" s="2" t="s">
        <v>200</v>
      </c>
      <c r="C100" s="2" t="s">
        <v>333</v>
      </c>
      <c r="D100" s="2" t="s">
        <v>342</v>
      </c>
      <c r="E100" s="2" t="s">
        <v>201</v>
      </c>
      <c r="F100" s="3">
        <v>7277121963</v>
      </c>
      <c r="G100" s="2" t="s">
        <v>110</v>
      </c>
      <c r="H100" s="2" t="s">
        <v>26</v>
      </c>
      <c r="I100" s="2">
        <v>5</v>
      </c>
      <c r="J100" s="3">
        <v>301</v>
      </c>
      <c r="K100" s="5" t="e">
        <v>#VALUE!</v>
      </c>
      <c r="L100" s="2" t="s">
        <v>16</v>
      </c>
      <c r="M100" s="4">
        <v>45567</v>
      </c>
      <c r="N100" s="30" t="str">
        <f t="shared" si="1"/>
        <v>Multiple Orders</v>
      </c>
      <c r="P100" s="27" t="s">
        <v>207</v>
      </c>
      <c r="Q100" s="34">
        <v>1</v>
      </c>
    </row>
    <row r="101" spans="1:17" x14ac:dyDescent="0.45">
      <c r="P101" s="27" t="s">
        <v>286</v>
      </c>
      <c r="Q101" s="34">
        <v>1</v>
      </c>
    </row>
    <row r="102" spans="1:17" x14ac:dyDescent="0.45">
      <c r="P102" s="27" t="s">
        <v>266</v>
      </c>
      <c r="Q102" s="34">
        <v>1</v>
      </c>
    </row>
    <row r="103" spans="1:17" x14ac:dyDescent="0.45">
      <c r="P103" s="27" t="s">
        <v>224</v>
      </c>
      <c r="Q103" s="34">
        <v>1</v>
      </c>
    </row>
    <row r="104" spans="1:17" x14ac:dyDescent="0.45">
      <c r="P104" s="27" t="s">
        <v>138</v>
      </c>
      <c r="Q104" s="34">
        <v>1</v>
      </c>
    </row>
    <row r="105" spans="1:17" x14ac:dyDescent="0.45">
      <c r="P105" s="27" t="s">
        <v>44</v>
      </c>
      <c r="Q105" s="34">
        <v>1</v>
      </c>
    </row>
    <row r="106" spans="1:17" x14ac:dyDescent="0.45">
      <c r="P106" s="27" t="s">
        <v>203</v>
      </c>
      <c r="Q106" s="34">
        <v>1</v>
      </c>
    </row>
    <row r="107" spans="1:17" x14ac:dyDescent="0.45">
      <c r="P107" s="27" t="s">
        <v>262</v>
      </c>
      <c r="Q107" s="34">
        <v>1</v>
      </c>
    </row>
    <row r="108" spans="1:17" x14ac:dyDescent="0.45">
      <c r="P108" s="27" t="s">
        <v>118</v>
      </c>
      <c r="Q108" s="34">
        <v>1</v>
      </c>
    </row>
    <row r="109" spans="1:17" x14ac:dyDescent="0.45">
      <c r="P109" s="27" t="s">
        <v>66</v>
      </c>
      <c r="Q109" s="34">
        <v>1</v>
      </c>
    </row>
    <row r="110" spans="1:17" x14ac:dyDescent="0.45">
      <c r="P110" s="27" t="s">
        <v>357</v>
      </c>
      <c r="Q110" s="34">
        <v>99</v>
      </c>
    </row>
  </sheetData>
  <autoFilter ref="L1:L100" xr:uid="{34D4DF34-18F2-4E49-9551-9E551F8E2882}"/>
  <dataConsolidate/>
  <conditionalFormatting sqref="K2:K100">
    <cfRule type="cellIs" dxfId="1" priority="2" operator="greaterThan">
      <formula>2000</formula>
    </cfRule>
  </conditionalFormatting>
  <conditionalFormatting sqref="A2:N100">
    <cfRule type="expression" dxfId="0" priority="1">
      <formula>AND($H2="Electronics",$K2&gt;1000)</formula>
    </cfRule>
  </conditionalFormatting>
  <dataValidations count="1">
    <dataValidation type="whole" allowBlank="1" showInputMessage="1" showErrorMessage="1" sqref="I1:I1048576" xr:uid="{BF64001D-F65C-4D22-9B10-8F287E77BC68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2025-12-15T07:08:59Z</dcterms:created>
  <dcterms:modified xsi:type="dcterms:W3CDTF">2025-12-18T08:31:21Z</dcterms:modified>
</cp:coreProperties>
</file>